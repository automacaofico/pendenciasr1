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81063925\Downloads\"/>
    </mc:Choice>
  </mc:AlternateContent>
  <xr:revisionPtr revIDLastSave="0" documentId="13_ncr:1_{9A6A02AB-2EB7-44B2-A1F8-27858C4205F9}" xr6:coauthVersionLast="47" xr6:coauthVersionMax="47" xr10:uidLastSave="{00000000-0000-0000-0000-000000000000}"/>
  <bookViews>
    <workbookView xWindow="-75" yWindow="17880" windowWidth="29040" windowHeight="15720" tabRatio="500" activeTab="5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3" l="1"/>
  <c r="D11" i="3"/>
  <c r="E8" i="3"/>
  <c r="D8" i="3"/>
  <c r="D5" i="3"/>
  <c r="F5" i="3" s="1"/>
  <c r="I2" i="2"/>
  <c r="J2" i="2" s="1"/>
  <c r="E5" i="3"/>
  <c r="F11" i="3"/>
  <c r="F10" i="3"/>
  <c r="F9" i="3"/>
  <c r="F7" i="3"/>
  <c r="F6" i="3"/>
  <c r="F4" i="3"/>
  <c r="F3" i="3"/>
  <c r="F2" i="3"/>
  <c r="J4" i="2"/>
  <c r="J3" i="2"/>
  <c r="F8" i="3" l="1"/>
</calcChain>
</file>

<file path=xl/sharedStrings.xml><?xml version="1.0" encoding="utf-8"?>
<sst xmlns="http://schemas.openxmlformats.org/spreadsheetml/2006/main" count="220" uniqueCount="139">
  <si>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</si>
  <si>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</si>
  <si>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</si>
  <si>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</si>
  <si>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</si>
  <si>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</si>
  <si>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</si>
  <si>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</si>
  <si>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</si>
  <si>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</si>
  <si>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</si>
  <si>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</si>
  <si>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</si>
  <si>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</si>
  <si>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</si>
  <si>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</si>
  <si>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</si>
  <si>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</si>
  <si>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</si>
  <si>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</si>
  <si>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</si>
  <si>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</si>
  <si>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</si>
  <si>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</si>
  <si>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</si>
  <si>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</si>
  <si>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</si>
  <si>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</si>
  <si>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</si>
  <si>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</si>
  <si>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</si>
  <si>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</si>
  <si>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</si>
  <si>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</si>
  <si>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</si>
  <si>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</si>
  <si>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</si>
  <si>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</si>
  <si>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</si>
  <si>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</si>
  <si>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</si>
  <si>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crítica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</si>
  <si>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</si>
  <si>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</si>
  <si>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</si>
  <si>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</si>
  <si>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</si>
  <si>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</si>
  <si>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</si>
  <si>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</si>
  <si>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</si>
  <si>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</si>
  <si>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</si>
  <si>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</si>
  <si>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</si>
  <si>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</si>
  <si>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</si>
  <si>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</si>
  <si>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MARCO FINAL ATÉ 15/10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</si>
  <si>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</si>
  <si>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</si>
  <si>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</si>
  <si>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</si>
  <si>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</si>
  <si>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</si>
  <si>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</si>
  <si>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</si>
  <si>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</si>
  <si>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</si>
  <si>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</si>
  <si>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65,5</t>
  </si>
  <si>
    <t>13,1</t>
  </si>
  <si>
    <t>32,8</t>
  </si>
  <si>
    <t>6,6</t>
  </si>
  <si>
    <t>21,8</t>
  </si>
  <si>
    <t>4,4</t>
  </si>
  <si>
    <t>16,4</t>
  </si>
  <si>
    <t>3,3</t>
  </si>
  <si>
    <t>2,6</t>
  </si>
  <si>
    <t>41,7</t>
  </si>
  <si>
    <t>8,3</t>
  </si>
  <si>
    <t>20,8</t>
  </si>
  <si>
    <t>4,2</t>
  </si>
  <si>
    <t>13,9</t>
  </si>
  <si>
    <t>2,8</t>
  </si>
  <si>
    <t>10,4</t>
  </si>
  <si>
    <t>2,1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</si>
  <si>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</si>
  <si>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</si>
  <si>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</si>
  <si>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</si>
  <si>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</si>
  <si>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</si>
  <si>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</si>
  <si>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</si>
  <si>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</si>
  <si>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</si>
  <si>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</si>
  <si>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</si>
  <si>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</si>
  <si>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</si>
  <si>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</si>
  <si>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</si>
  <si>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</si>
  <si>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</si>
  <si>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</si>
  <si>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</si>
  <si>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</si>
  <si>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</si>
  <si>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</si>
  <si>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</si>
  <si>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</si>
  <si>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</si>
  <si>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</si>
  <si>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</si>
  <si>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</si>
  <si>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</si>
  <si>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</si>
  <si>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</si>
  <si>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</si>
  <si>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</si>
  <si>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</si>
  <si>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</si>
  <si>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</si>
  <si>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</si>
  <si>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</si>
  <si>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</si>
  <si>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</si>
  <si>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CADENCIA</t>
  </si>
  <si>
    <t>Atualização semanal</t>
  </si>
  <si>
    <t>PREMISSA</t>
  </si>
  <si>
    <t>MARCO_FINAL</t>
  </si>
  <si>
    <t>15/10/2026 — Hidro e TAC 05 (Pacote 01)</t>
  </si>
  <si>
    <t>Em definição</t>
  </si>
  <si>
    <t>Gap crítico de mobilização — Pacote 01</t>
  </si>
  <si>
    <t>EMPA com 12 colaboradores mobilizados frente aos 36 necessários (3 equipes × 12). Ritmo atual não zera as 749 pendências no prazo.</t>
  </si>
  <si>
    <t>1 equipe com 12 colaboradores (1 encarregado + 4 oficiais + 8 serventes) executa em média 2 pendências/dia</t>
  </si>
  <si>
    <t xml:space="preserve">Controle VALE registra 99 baixadas. EMPA vai solicitar reinspeção de 140 pendências entre hoje e amanhã. </t>
  </si>
  <si>
    <t>07/07/2026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</si>
</sst>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charset val="1"/>
    </font>
    <font>
      <sz val="10"/>
      <color rgb="FF333333"/>
      <name val="Arial"/>
      <charset val="1"/>
    </font>
    <font>
      <b/>
      <sz val="11"/>
      <color rgb="FF142A4C"/>
      <name val="Arial"/>
      <charset val="1"/>
    </font>
    <font>
      <b/>
      <sz val="11"/>
      <color rgb="FFF89B32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10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4" fontId="6" fillId="0" borderId="1" xfId="0" quotePrefix="1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/>
  </sheetViews>
  <sheetFormatPr defaultColWidth="8.7109375" defaultRowHeight="15" x14ac:dyDescent="0.25"/>
  <cols>
    <col min="1" max="1" width="2" customWidth="1"/>
    <col min="2" max="2" width="115" customWidth="1"/>
  </cols>
  <sheetData>
    <row r="2" spans="2:2" ht="20.25" x14ac:dyDescent="0.3">
      <c r="B2" s="1" t="s">
        <v>0</v>
      </c>
    </row>
    <row r="3" spans="2:2" x14ac:dyDescent="0.25">
      <c r="B3" s="2"/>
    </row>
    <row r="4" spans="2:2" x14ac:dyDescent="0.25">
      <c r="B4" s="3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/>
    </row>
    <row r="12" spans="2:2" x14ac:dyDescent="0.25">
      <c r="B12" s="3" t="s">
        <v>7</v>
      </c>
    </row>
    <row r="13" spans="2:2" x14ac:dyDescent="0.25">
      <c r="B13" s="2" t="s">
        <v>8</v>
      </c>
    </row>
    <row r="14" spans="2:2" x14ac:dyDescent="0.25">
      <c r="B14" s="2" t="s">
        <v>9</v>
      </c>
    </row>
    <row r="15" spans="2:2" x14ac:dyDescent="0.25">
      <c r="B15" s="2" t="s">
        <v>10</v>
      </c>
    </row>
    <row r="16" spans="2:2" x14ac:dyDescent="0.25">
      <c r="B16" s="2" t="s">
        <v>11</v>
      </c>
    </row>
    <row r="17" spans="2:2" x14ac:dyDescent="0.25">
      <c r="B17" s="2" t="s">
        <v>12</v>
      </c>
    </row>
    <row r="18" spans="2:2" x14ac:dyDescent="0.25">
      <c r="B18" s="2"/>
    </row>
    <row r="19" spans="2:2" x14ac:dyDescent="0.25">
      <c r="B19" s="4" t="s">
        <v>13</v>
      </c>
    </row>
    <row r="20" spans="2:2" x14ac:dyDescent="0.2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N2" sqref="N2"/>
    </sheetView>
  </sheetViews>
  <sheetFormatPr defaultColWidth="8.7109375" defaultRowHeight="15" x14ac:dyDescent="0.25"/>
  <cols>
    <col min="1" max="1" width="8" customWidth="1"/>
    <col min="2" max="2" width="11" customWidth="1"/>
    <col min="3" max="3" width="20" customWidth="1"/>
    <col min="4" max="4" width="34" customWidth="1"/>
    <col min="5" max="5" width="13" customWidth="1"/>
    <col min="6" max="6" width="9" customWidth="1"/>
    <col min="7" max="7" width="10" customWidth="1"/>
    <col min="8" max="9" width="12" customWidth="1"/>
    <col min="10" max="10" width="9" customWidth="1"/>
    <col min="11" max="11" width="17" customWidth="1"/>
    <col min="12" max="12" width="7" customWidth="1"/>
    <col min="13" max="13" width="13" customWidth="1"/>
    <col min="14" max="14" width="20" customWidth="1"/>
    <col min="15" max="15" width="14" customWidth="1"/>
    <col min="16" max="16" width="55" customWidth="1"/>
  </cols>
  <sheetData>
    <row r="1" spans="1:16" ht="30" x14ac:dyDescent="0.2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25.5" x14ac:dyDescent="0.2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41</v>
      </c>
      <c r="L2" s="8">
        <v>15</v>
      </c>
      <c r="M2" s="8">
        <v>0</v>
      </c>
      <c r="N2" s="7" t="s">
        <v>35</v>
      </c>
      <c r="O2" s="7" t="s">
        <v>36</v>
      </c>
      <c r="P2" s="7"/>
    </row>
    <row r="3" spans="1:16" ht="25.5" x14ac:dyDescent="0.25">
      <c r="A3" s="6" t="s">
        <v>37</v>
      </c>
      <c r="B3" s="7" t="s">
        <v>38</v>
      </c>
      <c r="C3" s="7" t="s">
        <v>39</v>
      </c>
      <c r="D3" s="7" t="s">
        <v>40</v>
      </c>
      <c r="E3" s="8">
        <v>1</v>
      </c>
      <c r="F3" s="8">
        <v>0</v>
      </c>
      <c r="G3" s="8">
        <v>29</v>
      </c>
      <c r="H3" s="9">
        <v>30</v>
      </c>
      <c r="I3" s="9">
        <v>60</v>
      </c>
      <c r="J3" s="6">
        <f>IF(I3=0,0,ROUND((1-H3/I3)*100,0))</f>
        <v>50</v>
      </c>
      <c r="K3" s="7" t="s">
        <v>41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25.5" x14ac:dyDescent="0.2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zoomScale="145" zoomScaleNormal="145" workbookViewId="0">
      <selection sqref="A1:G11"/>
    </sheetView>
  </sheetViews>
  <sheetFormatPr defaultColWidth="8.7109375" defaultRowHeight="15" x14ac:dyDescent="0.25"/>
  <cols>
    <col min="1" max="1" width="9" customWidth="1"/>
    <col min="2" max="2" width="11" customWidth="1"/>
    <col min="3" max="3" width="16" customWidth="1"/>
    <col min="4" max="4" width="10" customWidth="1"/>
    <col min="5" max="5" width="12" customWidth="1"/>
    <col min="6" max="6" width="11" customWidth="1"/>
    <col min="7" max="7" width="42" customWidth="1"/>
  </cols>
  <sheetData>
    <row r="1" spans="1:7" ht="30" x14ac:dyDescent="0.2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25">
      <c r="A2" s="6" t="s">
        <v>31</v>
      </c>
      <c r="B2" s="7" t="s">
        <v>32</v>
      </c>
      <c r="C2" s="7" t="s">
        <v>56</v>
      </c>
      <c r="D2" s="6">
        <v>84</v>
      </c>
      <c r="E2" s="8">
        <v>29</v>
      </c>
      <c r="F2" s="10">
        <f t="shared" ref="F2:F11" si="0">D2-E2</f>
        <v>55</v>
      </c>
      <c r="G2" s="7"/>
    </row>
    <row r="3" spans="1:7" x14ac:dyDescent="0.25">
      <c r="A3" s="6" t="s">
        <v>31</v>
      </c>
      <c r="B3" s="7" t="s">
        <v>32</v>
      </c>
      <c r="C3" s="7" t="s">
        <v>57</v>
      </c>
      <c r="D3" s="6">
        <v>80</v>
      </c>
      <c r="E3" s="8">
        <v>3</v>
      </c>
      <c r="F3" s="10">
        <f t="shared" si="0"/>
        <v>77</v>
      </c>
      <c r="G3" s="7" t="s">
        <v>58</v>
      </c>
    </row>
    <row r="4" spans="1:7" x14ac:dyDescent="0.25">
      <c r="A4" s="6" t="s">
        <v>31</v>
      </c>
      <c r="B4" s="7" t="s">
        <v>32</v>
      </c>
      <c r="C4" s="7" t="s">
        <v>59</v>
      </c>
      <c r="D4" s="6">
        <v>78</v>
      </c>
      <c r="E4" s="8">
        <v>0</v>
      </c>
      <c r="F4" s="10">
        <f t="shared" si="0"/>
        <v>78</v>
      </c>
      <c r="G4" s="7" t="s">
        <v>133</v>
      </c>
    </row>
    <row r="5" spans="1:7" x14ac:dyDescent="0.25">
      <c r="A5" s="6" t="s">
        <v>31</v>
      </c>
      <c r="B5" s="7" t="s">
        <v>32</v>
      </c>
      <c r="C5" s="7" t="s">
        <v>60</v>
      </c>
      <c r="D5" s="6">
        <f>848-78-84-80</f>
        <v>606</v>
      </c>
      <c r="E5" s="8">
        <f>99-29-3</f>
        <v>67</v>
      </c>
      <c r="F5" s="10">
        <f t="shared" si="0"/>
        <v>539</v>
      </c>
      <c r="G5" s="7"/>
    </row>
    <row r="6" spans="1:7" x14ac:dyDescent="0.25">
      <c r="A6" s="6" t="s">
        <v>37</v>
      </c>
      <c r="B6" s="7" t="s">
        <v>38</v>
      </c>
      <c r="C6" s="7" t="s">
        <v>56</v>
      </c>
      <c r="D6" s="6">
        <v>53</v>
      </c>
      <c r="E6" s="8">
        <v>25</v>
      </c>
      <c r="F6" s="10">
        <f t="shared" si="0"/>
        <v>28</v>
      </c>
      <c r="G6" s="7"/>
    </row>
    <row r="7" spans="1:7" x14ac:dyDescent="0.25">
      <c r="A7" s="6" t="s">
        <v>37</v>
      </c>
      <c r="B7" s="7" t="s">
        <v>38</v>
      </c>
      <c r="C7" s="7" t="s">
        <v>57</v>
      </c>
      <c r="D7" s="6">
        <v>40</v>
      </c>
      <c r="E7" s="8">
        <v>1</v>
      </c>
      <c r="F7" s="10">
        <f t="shared" si="0"/>
        <v>39</v>
      </c>
      <c r="G7" s="7"/>
    </row>
    <row r="8" spans="1:7" x14ac:dyDescent="0.25">
      <c r="A8" s="6" t="s">
        <v>37</v>
      </c>
      <c r="B8" s="7" t="s">
        <v>38</v>
      </c>
      <c r="C8" s="7" t="s">
        <v>60</v>
      </c>
      <c r="D8" s="6">
        <f>727-53-40</f>
        <v>634</v>
      </c>
      <c r="E8" s="8">
        <f>50-25-1</f>
        <v>24</v>
      </c>
      <c r="F8" s="10">
        <f t="shared" si="0"/>
        <v>610</v>
      </c>
      <c r="G8" s="7" t="s">
        <v>61</v>
      </c>
    </row>
    <row r="9" spans="1:7" x14ac:dyDescent="0.25">
      <c r="A9" s="6" t="s">
        <v>45</v>
      </c>
      <c r="B9" s="7" t="s">
        <v>46</v>
      </c>
      <c r="C9" s="7" t="s">
        <v>56</v>
      </c>
      <c r="D9" s="6">
        <v>37</v>
      </c>
      <c r="E9" s="8">
        <v>3</v>
      </c>
      <c r="F9" s="10">
        <f t="shared" si="0"/>
        <v>34</v>
      </c>
      <c r="G9" s="7"/>
    </row>
    <row r="10" spans="1:7" x14ac:dyDescent="0.25">
      <c r="A10" s="6" t="s">
        <v>45</v>
      </c>
      <c r="B10" s="7" t="s">
        <v>46</v>
      </c>
      <c r="C10" s="7" t="s">
        <v>57</v>
      </c>
      <c r="D10" s="6">
        <v>72</v>
      </c>
      <c r="E10" s="8">
        <v>1</v>
      </c>
      <c r="F10" s="10">
        <f t="shared" si="0"/>
        <v>71</v>
      </c>
      <c r="G10" s="7"/>
    </row>
    <row r="11" spans="1:7" x14ac:dyDescent="0.25">
      <c r="A11" s="6" t="s">
        <v>45</v>
      </c>
      <c r="B11" s="7" t="s">
        <v>46</v>
      </c>
      <c r="C11" s="7" t="s">
        <v>60</v>
      </c>
      <c r="D11" s="6">
        <f>595-37-72</f>
        <v>486</v>
      </c>
      <c r="E11" s="8">
        <f>56-3-1</f>
        <v>52</v>
      </c>
      <c r="F11" s="10">
        <f t="shared" si="0"/>
        <v>434</v>
      </c>
      <c r="G11" s="7" t="s">
        <v>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zoomScaleNormal="100" workbookViewId="0">
      <selection activeCell="E36" sqref="E36"/>
    </sheetView>
  </sheetViews>
  <sheetFormatPr defaultColWidth="8.7109375" defaultRowHeight="15" x14ac:dyDescent="0.25"/>
  <cols>
    <col min="1" max="1" width="9" customWidth="1"/>
    <col min="2" max="2" width="11" customWidth="1"/>
    <col min="3" max="3" width="13" customWidth="1"/>
    <col min="4" max="4" width="11" customWidth="1"/>
    <col min="5" max="5" width="14" customWidth="1"/>
    <col min="6" max="6" width="9" customWidth="1"/>
    <col min="7" max="7" width="12" customWidth="1"/>
    <col min="8" max="8" width="32" customWidth="1"/>
  </cols>
  <sheetData>
    <row r="1" spans="1:8" ht="30" x14ac:dyDescent="0.25">
      <c r="A1" s="5" t="s">
        <v>15</v>
      </c>
      <c r="B1" s="5" t="s">
        <v>63</v>
      </c>
      <c r="C1" s="5" t="s">
        <v>64</v>
      </c>
      <c r="D1" s="5" t="s">
        <v>65</v>
      </c>
      <c r="E1" s="5" t="s">
        <v>66</v>
      </c>
      <c r="F1" s="5" t="s">
        <v>67</v>
      </c>
      <c r="G1" s="5" t="s">
        <v>23</v>
      </c>
      <c r="H1" s="5" t="s">
        <v>68</v>
      </c>
    </row>
    <row r="2" spans="1:8" x14ac:dyDescent="0.25">
      <c r="A2" s="6" t="s">
        <v>31</v>
      </c>
      <c r="B2" s="10">
        <v>1</v>
      </c>
      <c r="C2" s="6">
        <v>39.799999999999997</v>
      </c>
      <c r="D2" s="6">
        <v>8</v>
      </c>
      <c r="E2" s="6">
        <v>12</v>
      </c>
      <c r="F2" s="6" t="s">
        <v>69</v>
      </c>
      <c r="G2" s="6"/>
      <c r="H2" s="7"/>
    </row>
    <row r="3" spans="1:8" x14ac:dyDescent="0.25">
      <c r="A3" s="6" t="s">
        <v>31</v>
      </c>
      <c r="B3" s="10">
        <v>2</v>
      </c>
      <c r="C3" s="6">
        <v>19.899999999999999</v>
      </c>
      <c r="D3" s="6">
        <v>4</v>
      </c>
      <c r="E3" s="6">
        <v>24</v>
      </c>
      <c r="F3" s="6"/>
      <c r="G3" s="6"/>
      <c r="H3" s="7"/>
    </row>
    <row r="4" spans="1:8" x14ac:dyDescent="0.25">
      <c r="A4" s="6" t="s">
        <v>31</v>
      </c>
      <c r="B4" s="10">
        <v>3</v>
      </c>
      <c r="C4" s="6">
        <v>13.3</v>
      </c>
      <c r="D4" s="6">
        <v>2.7</v>
      </c>
      <c r="E4" s="6">
        <v>36</v>
      </c>
      <c r="F4" s="6"/>
      <c r="G4" s="6" t="s">
        <v>69</v>
      </c>
      <c r="H4" s="7"/>
    </row>
    <row r="5" spans="1:8" x14ac:dyDescent="0.25">
      <c r="A5" s="6" t="s">
        <v>37</v>
      </c>
      <c r="B5" s="10">
        <v>1</v>
      </c>
      <c r="C5" s="6" t="s">
        <v>70</v>
      </c>
      <c r="D5" s="6" t="s">
        <v>71</v>
      </c>
      <c r="E5" s="6">
        <v>12</v>
      </c>
      <c r="F5" s="6"/>
      <c r="G5" s="6"/>
      <c r="H5" s="7"/>
    </row>
    <row r="6" spans="1:8" x14ac:dyDescent="0.25">
      <c r="A6" s="6" t="s">
        <v>37</v>
      </c>
      <c r="B6" s="10">
        <v>2</v>
      </c>
      <c r="C6" s="6" t="s">
        <v>72</v>
      </c>
      <c r="D6" s="6" t="s">
        <v>73</v>
      </c>
      <c r="E6" s="6">
        <v>24</v>
      </c>
      <c r="F6" s="6"/>
      <c r="G6" s="6"/>
      <c r="H6" s="7"/>
    </row>
    <row r="7" spans="1:8" x14ac:dyDescent="0.25">
      <c r="A7" s="6" t="s">
        <v>37</v>
      </c>
      <c r="B7" s="10">
        <v>3</v>
      </c>
      <c r="C7" s="6" t="s">
        <v>74</v>
      </c>
      <c r="D7" s="6" t="s">
        <v>75</v>
      </c>
      <c r="E7" s="6">
        <v>36</v>
      </c>
      <c r="F7" s="6" t="s">
        <v>69</v>
      </c>
      <c r="G7" s="6"/>
      <c r="H7" s="7"/>
    </row>
    <row r="8" spans="1:8" x14ac:dyDescent="0.25">
      <c r="A8" s="6" t="s">
        <v>37</v>
      </c>
      <c r="B8" s="10">
        <v>4</v>
      </c>
      <c r="C8" s="6" t="s">
        <v>76</v>
      </c>
      <c r="D8" s="6" t="s">
        <v>77</v>
      </c>
      <c r="E8" s="6">
        <v>48</v>
      </c>
      <c r="F8" s="6"/>
      <c r="G8" s="6"/>
      <c r="H8" s="7"/>
    </row>
    <row r="9" spans="1:8" x14ac:dyDescent="0.25">
      <c r="A9" s="6" t="s">
        <v>37</v>
      </c>
      <c r="B9" s="10">
        <v>5</v>
      </c>
      <c r="C9" s="6" t="s">
        <v>71</v>
      </c>
      <c r="D9" s="6" t="s">
        <v>78</v>
      </c>
      <c r="E9" s="6">
        <v>60</v>
      </c>
      <c r="F9" s="6"/>
      <c r="G9" s="6" t="s">
        <v>69</v>
      </c>
      <c r="H9" s="7"/>
    </row>
    <row r="10" spans="1:8" x14ac:dyDescent="0.25">
      <c r="A10" s="6" t="s">
        <v>45</v>
      </c>
      <c r="B10" s="10">
        <v>1</v>
      </c>
      <c r="C10" s="6" t="s">
        <v>79</v>
      </c>
      <c r="D10" s="6" t="s">
        <v>80</v>
      </c>
      <c r="E10" s="6">
        <v>12</v>
      </c>
      <c r="F10" s="6"/>
      <c r="G10" s="6"/>
      <c r="H10" s="7"/>
    </row>
    <row r="11" spans="1:8" x14ac:dyDescent="0.25">
      <c r="A11" s="6" t="s">
        <v>45</v>
      </c>
      <c r="B11" s="10">
        <v>2</v>
      </c>
      <c r="C11" s="6" t="s">
        <v>81</v>
      </c>
      <c r="D11" s="6" t="s">
        <v>82</v>
      </c>
      <c r="E11" s="6">
        <v>24</v>
      </c>
      <c r="F11" s="6"/>
      <c r="G11" s="6"/>
      <c r="H11" s="7"/>
    </row>
    <row r="12" spans="1:8" x14ac:dyDescent="0.25">
      <c r="A12" s="6" t="s">
        <v>45</v>
      </c>
      <c r="B12" s="10">
        <v>3</v>
      </c>
      <c r="C12" s="6" t="s">
        <v>83</v>
      </c>
      <c r="D12" s="6" t="s">
        <v>84</v>
      </c>
      <c r="E12" s="6">
        <v>36</v>
      </c>
      <c r="F12" s="6" t="s">
        <v>69</v>
      </c>
      <c r="G12" s="6"/>
      <c r="H12" s="7"/>
    </row>
    <row r="13" spans="1:8" x14ac:dyDescent="0.25">
      <c r="A13" s="6" t="s">
        <v>45</v>
      </c>
      <c r="B13" s="10">
        <v>4</v>
      </c>
      <c r="C13" s="6" t="s">
        <v>85</v>
      </c>
      <c r="D13" s="6" t="s">
        <v>86</v>
      </c>
      <c r="E13" s="6">
        <v>48</v>
      </c>
      <c r="F13" s="6"/>
      <c r="G13" s="6" t="s">
        <v>69</v>
      </c>
      <c r="H13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9" customWidth="1"/>
    <col min="2" max="2" width="11" customWidth="1"/>
    <col min="3" max="3" width="42" customWidth="1"/>
    <col min="4" max="4" width="85" customWidth="1"/>
  </cols>
  <sheetData>
    <row r="1" spans="1:4" ht="30" x14ac:dyDescent="0.25">
      <c r="A1" s="5" t="s">
        <v>15</v>
      </c>
      <c r="B1" s="5" t="s">
        <v>51</v>
      </c>
      <c r="C1" s="5" t="s">
        <v>87</v>
      </c>
      <c r="D1" s="5" t="s">
        <v>88</v>
      </c>
    </row>
    <row r="2" spans="1:4" ht="25.5" x14ac:dyDescent="0.25">
      <c r="A2" s="10" t="s">
        <v>89</v>
      </c>
      <c r="B2" s="11" t="s">
        <v>90</v>
      </c>
      <c r="C2" s="12" t="s">
        <v>91</v>
      </c>
      <c r="D2" s="7" t="s">
        <v>92</v>
      </c>
    </row>
    <row r="3" spans="1:4" ht="25.5" x14ac:dyDescent="0.25">
      <c r="A3" s="10" t="s">
        <v>89</v>
      </c>
      <c r="B3" s="13" t="s">
        <v>93</v>
      </c>
      <c r="C3" s="12" t="s">
        <v>94</v>
      </c>
      <c r="D3" s="7" t="s">
        <v>95</v>
      </c>
    </row>
    <row r="4" spans="1:4" ht="25.5" x14ac:dyDescent="0.25">
      <c r="A4" s="10" t="s">
        <v>89</v>
      </c>
      <c r="B4" s="14" t="s">
        <v>96</v>
      </c>
      <c r="C4" s="12" t="s">
        <v>97</v>
      </c>
      <c r="D4" s="7" t="s">
        <v>98</v>
      </c>
    </row>
    <row r="5" spans="1:4" ht="25.5" x14ac:dyDescent="0.25">
      <c r="A5" s="10" t="s">
        <v>89</v>
      </c>
      <c r="B5" s="14" t="s">
        <v>96</v>
      </c>
      <c r="C5" s="12" t="s">
        <v>99</v>
      </c>
      <c r="D5" s="7" t="s">
        <v>100</v>
      </c>
    </row>
    <row r="6" spans="1:4" ht="25.5" x14ac:dyDescent="0.25">
      <c r="A6" s="10" t="s">
        <v>31</v>
      </c>
      <c r="B6" s="13" t="s">
        <v>93</v>
      </c>
      <c r="C6" s="12" t="s">
        <v>101</v>
      </c>
      <c r="D6" s="7" t="s">
        <v>102</v>
      </c>
    </row>
    <row r="7" spans="1:4" ht="25.5" x14ac:dyDescent="0.25">
      <c r="A7" s="10" t="s">
        <v>31</v>
      </c>
      <c r="B7" s="14" t="s">
        <v>96</v>
      </c>
      <c r="C7" s="12" t="s">
        <v>103</v>
      </c>
      <c r="D7" s="7" t="s">
        <v>137</v>
      </c>
    </row>
    <row r="8" spans="1:4" ht="25.5" x14ac:dyDescent="0.25">
      <c r="A8" s="10" t="s">
        <v>31</v>
      </c>
      <c r="B8" s="11" t="s">
        <v>90</v>
      </c>
      <c r="C8" s="12" t="s">
        <v>134</v>
      </c>
      <c r="D8" s="7" t="s">
        <v>135</v>
      </c>
    </row>
    <row r="9" spans="1:4" x14ac:dyDescent="0.25">
      <c r="A9" s="10" t="s">
        <v>31</v>
      </c>
      <c r="B9" s="14" t="s">
        <v>96</v>
      </c>
      <c r="C9" s="12" t="s">
        <v>104</v>
      </c>
      <c r="D9" s="7" t="s">
        <v>105</v>
      </c>
    </row>
    <row r="10" spans="1:4" ht="25.5" x14ac:dyDescent="0.25">
      <c r="A10" s="10" t="s">
        <v>37</v>
      </c>
      <c r="B10" s="11" t="s">
        <v>90</v>
      </c>
      <c r="C10" s="12" t="s">
        <v>106</v>
      </c>
      <c r="D10" s="7" t="s">
        <v>107</v>
      </c>
    </row>
    <row r="11" spans="1:4" ht="25.5" x14ac:dyDescent="0.25">
      <c r="A11" s="10" t="s">
        <v>37</v>
      </c>
      <c r="B11" s="13" t="s">
        <v>93</v>
      </c>
      <c r="C11" s="12" t="s">
        <v>108</v>
      </c>
      <c r="D11" s="7" t="s">
        <v>109</v>
      </c>
    </row>
    <row r="12" spans="1:4" ht="25.5" x14ac:dyDescent="0.25">
      <c r="A12" s="10" t="s">
        <v>37</v>
      </c>
      <c r="B12" s="14" t="s">
        <v>96</v>
      </c>
      <c r="C12" s="12" t="s">
        <v>110</v>
      </c>
      <c r="D12" s="7" t="s">
        <v>111</v>
      </c>
    </row>
    <row r="13" spans="1:4" x14ac:dyDescent="0.25">
      <c r="A13" s="10" t="s">
        <v>37</v>
      </c>
      <c r="B13" s="11" t="s">
        <v>90</v>
      </c>
      <c r="C13" s="12" t="s">
        <v>112</v>
      </c>
      <c r="D13" s="7" t="s">
        <v>113</v>
      </c>
    </row>
    <row r="14" spans="1:4" ht="25.5" x14ac:dyDescent="0.25">
      <c r="A14" s="10" t="s">
        <v>45</v>
      </c>
      <c r="B14" s="13" t="s">
        <v>93</v>
      </c>
      <c r="C14" s="12" t="s">
        <v>114</v>
      </c>
      <c r="D14" s="7" t="s">
        <v>115</v>
      </c>
    </row>
    <row r="15" spans="1:4" ht="25.5" x14ac:dyDescent="0.25">
      <c r="A15" s="10" t="s">
        <v>45</v>
      </c>
      <c r="B15" s="13" t="s">
        <v>93</v>
      </c>
      <c r="C15" s="12" t="s">
        <v>116</v>
      </c>
      <c r="D15" s="7" t="s">
        <v>117</v>
      </c>
    </row>
    <row r="16" spans="1:4" x14ac:dyDescent="0.25">
      <c r="A16" s="10" t="s">
        <v>45</v>
      </c>
      <c r="B16" s="11" t="s">
        <v>90</v>
      </c>
      <c r="C16" s="12" t="s">
        <v>118</v>
      </c>
      <c r="D16" s="7" t="s">
        <v>119</v>
      </c>
    </row>
    <row r="17" spans="1:4" ht="25.5" x14ac:dyDescent="0.25">
      <c r="A17" s="10" t="s">
        <v>45</v>
      </c>
      <c r="B17" s="14" t="s">
        <v>96</v>
      </c>
      <c r="C17" s="12" t="s">
        <v>120</v>
      </c>
      <c r="D17" s="7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tabSelected="1" zoomScaleNormal="100" workbookViewId="0">
      <selection activeCell="B18" sqref="B18"/>
    </sheetView>
  </sheetViews>
  <sheetFormatPr defaultColWidth="8.7109375" defaultRowHeight="15" x14ac:dyDescent="0.25"/>
  <cols>
    <col min="1" max="1" width="22" customWidth="1"/>
    <col min="2" max="2" width="75" customWidth="1"/>
  </cols>
  <sheetData>
    <row r="1" spans="1:2" x14ac:dyDescent="0.25">
      <c r="A1" s="5" t="s">
        <v>122</v>
      </c>
      <c r="B1" s="5" t="s">
        <v>123</v>
      </c>
    </row>
    <row r="2" spans="1:2" x14ac:dyDescent="0.25">
      <c r="A2" s="15" t="s">
        <v>87</v>
      </c>
      <c r="B2" s="7" t="s">
        <v>124</v>
      </c>
    </row>
    <row r="3" spans="1:2" x14ac:dyDescent="0.25">
      <c r="A3" s="15" t="s">
        <v>125</v>
      </c>
      <c r="B3" s="7" t="s">
        <v>126</v>
      </c>
    </row>
    <row r="4" spans="1:2" x14ac:dyDescent="0.25">
      <c r="A4" s="15" t="s">
        <v>127</v>
      </c>
      <c r="B4" s="16" t="s">
        <v>138</v>
      </c>
    </row>
    <row r="5" spans="1:2" x14ac:dyDescent="0.25">
      <c r="A5" s="15" t="s">
        <v>128</v>
      </c>
      <c r="B5" s="7" t="s">
        <v>129</v>
      </c>
    </row>
    <row r="6" spans="1:2" ht="25.5" x14ac:dyDescent="0.25">
      <c r="A6" s="15" t="s">
        <v>130</v>
      </c>
      <c r="B6" s="7" t="s">
        <v>136</v>
      </c>
    </row>
    <row r="7" spans="1:2" x14ac:dyDescent="0.25">
      <c r="A7" s="15" t="s">
        <v>131</v>
      </c>
      <c r="B7" s="7" t="s">
        <v>132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Thyago Viegas</cp:lastModifiedBy>
  <cp:revision>0</cp:revision>
  <dcterms:created xsi:type="dcterms:W3CDTF">2026-07-04T23:14:05Z</dcterms:created>
  <dcterms:modified xsi:type="dcterms:W3CDTF">2026-07-07T13:16:45Z</dcterms:modified>
  <dc:language>en-US</dc:language>
</cp:coreProperties>
</file>