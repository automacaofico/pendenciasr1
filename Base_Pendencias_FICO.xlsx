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B20"/>
  <sheetViews>
    <sheetView workbookViewId="0" rightToLeft="0"/>
  </sheetViews>
  <sheetData>
    <row r="2">
      <c r="B2" t="str">
        <v>PAINEL DE PENDÊNCIAS FICO INFRA — BASE ÚNICA DE DADOS</v>
      </c>
    </row>
    <row r="4">
      <c r="B4" t="str">
        <v>Esta planilha é a FONTE ÚNICA do painel. Todo o conteúdo do HTML (números, cards, tabelas, cenários e alertas) é lido daqui.</v>
      </c>
    </row>
    <row r="6">
      <c r="B6" t="str">
        <v>COMO ATUALIZAR:</v>
      </c>
    </row>
    <row r="7">
      <c r="B7" t="str">
        <v>1. Edite os valores nas abas abaixo. NÃO altere nomes de abas nem os cabeçalhos da linha 1.</v>
      </c>
    </row>
    <row r="8">
      <c r="B8" t="str">
        <v>2. A coluna PENDENTE (aba PENDENCIAS) e GAP_PCT (aba PACOTES) são fórmulas — não preencha à mão.</v>
      </c>
    </row>
    <row r="9">
      <c r="B9" t="str">
        <v>3. Salve e suba no GitHub com o nome fixo: Base_Pendencias_FICO.xlsx</v>
      </c>
    </row>
    <row r="10">
      <c r="B10" t="str">
        <v>4. O painel HTML puxa automaticamente a cada abertura (indicador 'sincronizado' no topo).</v>
      </c>
    </row>
    <row r="12">
      <c r="B12" t="str">
        <v>ABAS:</v>
      </c>
    </row>
    <row r="13">
      <c r="B13" t="str">
        <v xml:space="preserve">   • PACOTES     — 1 linha por pacote: empresa, KM, efetivo (enc/of/serv), mobilizado, necessário, cronograma, RNC, status.</v>
      </c>
    </row>
    <row r="14">
      <c r="B14" t="str">
        <v xml:space="preserve">   • PENDENCIAS  — escopo por tipo (Total / Executado). PENDENTE é calculado.</v>
      </c>
    </row>
    <row r="15">
      <c r="B15" t="str">
        <v xml:space="preserve">   • CENARIOS    — cenários de dimensionamento (1 a N equipes). ATUAL/NECESSARIO = marque com SIM.</v>
      </c>
    </row>
    <row r="16">
      <c r="B16" t="str">
        <v xml:space="preserve">   • ALERTAS     — cards de alerta. PACOTE = GERAL / P1 / P2 / P3. TIPO = CRITICO / AVISO / INFO.</v>
      </c>
    </row>
    <row r="17">
      <c r="B17" t="str">
        <v xml:space="preserve">   • META        — título, subtítulo, data de referência, premissa, marco.</v>
      </c>
    </row>
    <row r="19">
      <c r="B19" t="str">
        <v>REGRAS DO SEMÁFORO (cor calculada pelo GAP): 0% = verde · até 30% = amarelo · acima de 30% = vermelho.</v>
      </c>
    </row>
    <row r="20">
      <c r="B20" t="str">
        <v>O texto do status vem da coluna STATUS_TXT (aba PACOTES).</v>
      </c>
    </row>
  </sheetData>
  <pageMargins left="0.75" right="0.75" top="1" bottom="1" header="0.511811023622047" footer="0.511811023622047"/>
  <ignoredErrors>
    <ignoredError numberStoredAsText="1" sqref="B2:B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2"/>
  <sheetViews>
    <sheetView workbookViewId="0" rightToLeft="0"/>
  </sheetViews>
  <sheetData>
    <row r="1">
      <c r="A1" t="str">
        <v>PACOTE</v>
      </c>
      <c r="B1" t="str">
        <v>EMPRESA</v>
      </c>
      <c r="C1" t="str">
        <v>KM</v>
      </c>
      <c r="D1" t="str">
        <v>CRONOGRAMA</v>
      </c>
      <c r="E1" t="str">
        <v>ENCARREGADOS</v>
      </c>
      <c r="F1" t="str">
        <v>OFICIAIS</v>
      </c>
      <c r="G1" t="str">
        <v>SERVENTES</v>
      </c>
      <c r="H1" t="str">
        <v>MOBILIZADO</v>
      </c>
      <c r="I1" t="str">
        <v>NECESSARIO</v>
      </c>
      <c r="J1" t="str">
        <v>GAP_PCT</v>
      </c>
      <c r="K1" t="str">
        <v>STATUS_TXT</v>
      </c>
      <c r="L1" t="str">
        <v>RNC</v>
      </c>
      <c r="M1" t="str">
        <v>START_SEMANA</v>
      </c>
      <c r="N1" t="str">
        <v>EXTRA_LABEL</v>
      </c>
      <c r="O1" t="str">
        <v>EXTRA_VALUE</v>
      </c>
      <c r="P1" t="str">
        <v>MOB_NOTA</v>
      </c>
    </row>
    <row r="2">
      <c r="A2" t="str">
        <v>P1</v>
      </c>
      <c r="B2" t="str">
        <v>EMPA</v>
      </c>
      <c r="C2" t="str">
        <v>KM 0 – 34+500</v>
      </c>
      <c r="D2" t="str">
        <v>Jul (4) + Ago (4) + Set (4) = 12 semanas</v>
      </c>
      <c r="E2">
        <v>1</v>
      </c>
      <c r="F2">
        <v>4</v>
      </c>
      <c r="G2">
        <v>8</v>
      </c>
      <c r="H2">
        <v>12</v>
      </c>
      <c r="I2">
        <f>12*3</f>
        <v>36</v>
      </c>
      <c r="J2">
        <f>IF(I2=0,0,ROUND((1-H2/I2)*100,0))</f>
        <v>67</v>
      </c>
      <c r="K2" t="str">
        <v>Mobilização crítica</v>
      </c>
      <c r="L2">
        <v>15</v>
      </c>
      <c r="M2">
        <v>0</v>
      </c>
      <c r="N2" t="str">
        <v>Marco final</v>
      </c>
      <c r="O2" t="str">
        <v>15/10/2026</v>
      </c>
    </row>
    <row r="3">
      <c r="A3" t="str">
        <v>P1</v>
      </c>
      <c r="B3" t="str">
        <v>CIVIL MASTER</v>
      </c>
    </row>
    <row r="4">
      <c r="A4" t="str">
        <v>P1</v>
      </c>
      <c r="B4" t="str">
        <v>GSA</v>
      </c>
    </row>
    <row r="5">
      <c r="A5" t="str">
        <v>P1</v>
      </c>
      <c r="B5" t="str">
        <v>SOMAFEL</v>
      </c>
    </row>
    <row r="6">
      <c r="A6" t="str">
        <v>P2</v>
      </c>
      <c r="B6" t="str">
        <v>ATERPA</v>
      </c>
      <c r="C6" t="str">
        <v>KM 34+500 – 69+500</v>
      </c>
      <c r="D6" t="str">
        <v>Jul (2) + Ago (4) + Set (4) = 10 semanas</v>
      </c>
      <c r="E6">
        <v>1</v>
      </c>
      <c r="F6">
        <v>0</v>
      </c>
      <c r="G6">
        <v>29</v>
      </c>
      <c r="H6">
        <v>11</v>
      </c>
      <c r="I6">
        <v>60</v>
      </c>
      <c r="J6">
        <f>IF(I6=0,0,ROUND((1-H6/I6)*100,0))</f>
        <v>82</v>
      </c>
      <c r="K6" t="str">
        <v>Mobilização crítica</v>
      </c>
      <c r="L6">
        <v>20</v>
      </c>
      <c r="M6">
        <v>2</v>
      </c>
      <c r="N6" t="str">
        <v>Mobilização a partir de</v>
      </c>
      <c r="O6" t="str">
        <v>15/07/2026</v>
      </c>
      <c r="P6" t="str">
        <v>Mobilização a partir de 15/07/2026. Vale está fazendo reinspeção em campo para baixar novas pendências.</v>
      </c>
    </row>
    <row r="7">
      <c r="A7" t="str">
        <v>P2</v>
      </c>
      <c r="B7" t="str">
        <v>CIVIL MASTER</v>
      </c>
    </row>
    <row r="8">
      <c r="A8" t="str">
        <v>P2</v>
      </c>
      <c r="B8" t="str">
        <v>DR</v>
      </c>
    </row>
    <row r="9">
      <c r="A9" t="str">
        <v>P2</v>
      </c>
      <c r="B9" t="str">
        <v>GSA</v>
      </c>
    </row>
    <row r="10">
      <c r="A10" t="str">
        <v>P3</v>
      </c>
      <c r="B10" t="str">
        <v>ÁPIA</v>
      </c>
      <c r="C10" t="str">
        <v>KM 69+500 – 104+500</v>
      </c>
      <c r="D10" t="str">
        <v>Jul (4) + Ago (4) + Set (4) = 12 semanas</v>
      </c>
      <c r="E10">
        <v>2</v>
      </c>
      <c r="F10">
        <v>0</v>
      </c>
      <c r="G10">
        <v>36</v>
      </c>
      <c r="H10">
        <v>36</v>
      </c>
      <c r="I10">
        <v>48</v>
      </c>
      <c r="J10">
        <f>IF(I10=0,0,ROUND((1-H10/I10)*100,0))</f>
        <v>25</v>
      </c>
      <c r="K10" t="str">
        <v>Atenção</v>
      </c>
      <c r="L10">
        <v>30</v>
      </c>
      <c r="M10">
        <v>0</v>
      </c>
      <c r="N10" t="str">
        <v>Equipes atuais</v>
      </c>
      <c r="O10" t="str">
        <v>2 frentes</v>
      </c>
    </row>
    <row r="11">
      <c r="A11" t="str">
        <v>P3</v>
      </c>
      <c r="B11" t="str">
        <v>DR</v>
      </c>
    </row>
    <row r="12">
      <c r="A12" t="str">
        <v>P3</v>
      </c>
      <c r="B12" t="str">
        <v>SOMAFEL</v>
      </c>
    </row>
  </sheetData>
  <pageMargins left="0.75" right="0.75" top="1" bottom="1" header="0.511811023622047" footer="0.511811023622047"/>
  <ignoredErrors>
    <ignoredError numberStoredAsText="1" sqref="A1:P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P40"/>
  <sheetViews>
    <sheetView workbookViewId="0" rightToLeft="0"/>
  </sheetViews>
  <sheetData>
    <row r="1">
      <c r="A1" t="str">
        <v>PACOTE</v>
      </c>
      <c r="B1" t="str">
        <v>EMPRESA</v>
      </c>
      <c r="C1" t="str">
        <v>TIPO</v>
      </c>
      <c r="D1" t="str">
        <v>TOTAL</v>
      </c>
      <c r="E1" t="str">
        <v>CERTIFICAÇÃO</v>
      </c>
      <c r="F1" t="str">
        <v>NÃO CERTIFICAÇÃO</v>
      </c>
      <c r="G1" t="str">
        <v>FISCALIZAÇÃO</v>
      </c>
      <c r="H1" t="str">
        <v>FUNDIÁRIO</v>
      </c>
      <c r="I1" t="str">
        <v>IMPLANTAÇÃO</v>
      </c>
      <c r="J1" t="str">
        <v>PROTOCOLO</v>
      </c>
      <c r="K1" t="str">
        <v>EXECUTADO</v>
      </c>
      <c r="L1" t="str">
        <v>FINALIZADO (SEM IMPACTO)</v>
      </c>
      <c r="M1" t="str">
        <v>FINALIZADO (CERTIFICAÇÃO)</v>
      </c>
      <c r="N1" t="str">
        <v>PENDENTE EXECUÇÃO</v>
      </c>
      <c r="O1" t="str">
        <v>PENDENTE FINALIZAÇÃO</v>
      </c>
      <c r="P1" t="str">
        <v>OBSERVACAO</v>
      </c>
    </row>
    <row r="2">
      <c r="A2" t="str">
        <v>P1</v>
      </c>
      <c r="B2" t="str">
        <v>EMPA</v>
      </c>
      <c r="C2" t="str">
        <v>DOCUMENTAL</v>
      </c>
      <c r="D2">
        <v>84</v>
      </c>
      <c r="E2">
        <v>84</v>
      </c>
      <c r="F2">
        <v>0</v>
      </c>
      <c r="G2">
        <v>0</v>
      </c>
      <c r="H2">
        <v>0</v>
      </c>
      <c r="I2">
        <v>0</v>
      </c>
      <c r="J2">
        <v>84</v>
      </c>
      <c r="L2">
        <v>46</v>
      </c>
      <c r="N2">
        <v>38</v>
      </c>
      <c r="O2">
        <v>38</v>
      </c>
    </row>
    <row r="3">
      <c r="A3" t="str">
        <v>P1</v>
      </c>
      <c r="B3" t="str">
        <v>EMPA</v>
      </c>
      <c r="C3" t="str">
        <v>HIDRO</v>
      </c>
      <c r="D3">
        <v>77</v>
      </c>
      <c r="E3">
        <v>62</v>
      </c>
      <c r="F3">
        <v>15</v>
      </c>
      <c r="G3">
        <v>0</v>
      </c>
      <c r="H3">
        <v>0</v>
      </c>
      <c r="I3">
        <v>0</v>
      </c>
      <c r="J3">
        <v>77</v>
      </c>
      <c r="L3">
        <v>20</v>
      </c>
      <c r="N3">
        <v>57</v>
      </c>
      <c r="O3">
        <v>57</v>
      </c>
    </row>
    <row r="4">
      <c r="A4" t="str">
        <v>P1</v>
      </c>
      <c r="B4" t="str">
        <v>EMPA</v>
      </c>
      <c r="C4" t="str">
        <v>REPAROS</v>
      </c>
      <c r="D4">
        <v>656</v>
      </c>
      <c r="E4">
        <v>368</v>
      </c>
      <c r="F4">
        <v>288</v>
      </c>
      <c r="G4">
        <v>46</v>
      </c>
      <c r="H4">
        <v>0</v>
      </c>
      <c r="I4">
        <v>7</v>
      </c>
      <c r="J4">
        <v>602</v>
      </c>
      <c r="L4">
        <v>344</v>
      </c>
      <c r="N4">
        <v>312</v>
      </c>
      <c r="O4">
        <v>312</v>
      </c>
    </row>
    <row r="5">
      <c r="A5" t="str">
        <v>P1</v>
      </c>
      <c r="B5" t="str">
        <v>EMPA</v>
      </c>
      <c r="C5" t="str">
        <v>ESCOPO</v>
      </c>
      <c r="D5">
        <v>285</v>
      </c>
      <c r="E5">
        <v>284</v>
      </c>
      <c r="F5">
        <v>1</v>
      </c>
      <c r="G5">
        <v>0</v>
      </c>
      <c r="H5">
        <v>0</v>
      </c>
      <c r="I5">
        <v>2</v>
      </c>
      <c r="J5">
        <v>283</v>
      </c>
      <c r="L5">
        <v>174</v>
      </c>
      <c r="N5">
        <v>111</v>
      </c>
      <c r="O5">
        <v>111</v>
      </c>
    </row>
    <row r="6">
      <c r="A6" t="str">
        <v>P1</v>
      </c>
      <c r="B6" t="str">
        <v>CIVIL MASTER</v>
      </c>
      <c r="C6" t="str">
        <v>DOCUMENTAL</v>
      </c>
      <c r="D6">
        <v>1</v>
      </c>
      <c r="E6">
        <v>1</v>
      </c>
      <c r="F6">
        <v>0</v>
      </c>
      <c r="G6">
        <v>0</v>
      </c>
      <c r="H6">
        <v>0</v>
      </c>
      <c r="I6">
        <v>0</v>
      </c>
      <c r="J6">
        <v>1</v>
      </c>
      <c r="L6">
        <v>0</v>
      </c>
      <c r="N6">
        <v>1</v>
      </c>
      <c r="O6">
        <v>1</v>
      </c>
    </row>
    <row r="7">
      <c r="A7" t="str">
        <v>P1</v>
      </c>
      <c r="B7" t="str">
        <v>CIVIL MASTER</v>
      </c>
      <c r="C7" t="str">
        <v>HIDRO</v>
      </c>
      <c r="D7">
        <v>6</v>
      </c>
      <c r="E7">
        <v>1</v>
      </c>
      <c r="F7">
        <v>5</v>
      </c>
      <c r="G7">
        <v>0</v>
      </c>
      <c r="H7">
        <v>0</v>
      </c>
      <c r="I7">
        <v>0</v>
      </c>
      <c r="J7">
        <v>6</v>
      </c>
      <c r="L7">
        <v>0</v>
      </c>
      <c r="N7">
        <v>6</v>
      </c>
      <c r="O7">
        <v>6</v>
      </c>
    </row>
    <row r="8">
      <c r="A8" t="str">
        <v>P1</v>
      </c>
      <c r="B8" t="str">
        <v>CIVIL MASTER</v>
      </c>
      <c r="C8" t="str">
        <v>REPAROS</v>
      </c>
      <c r="D8">
        <v>5</v>
      </c>
      <c r="E8">
        <v>4</v>
      </c>
      <c r="F8">
        <v>1</v>
      </c>
      <c r="G8">
        <v>5</v>
      </c>
      <c r="H8">
        <v>0</v>
      </c>
      <c r="I8">
        <v>0</v>
      </c>
      <c r="J8">
        <v>0</v>
      </c>
      <c r="L8">
        <v>0</v>
      </c>
      <c r="N8">
        <v>5</v>
      </c>
      <c r="O8">
        <v>5</v>
      </c>
    </row>
    <row r="9">
      <c r="A9" t="str">
        <v>P1</v>
      </c>
      <c r="B9" t="str">
        <v>CIVIL MASTER</v>
      </c>
      <c r="C9" t="str">
        <v>ESCOPO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L9">
        <v>0</v>
      </c>
      <c r="N9">
        <v>0</v>
      </c>
      <c r="O9">
        <v>0</v>
      </c>
    </row>
    <row r="10">
      <c r="A10" t="str">
        <v>P1</v>
      </c>
      <c r="B10" t="str">
        <v>GSA</v>
      </c>
      <c r="C10" t="str">
        <v>DOCUMENTAL</v>
      </c>
      <c r="D10">
        <v>4</v>
      </c>
      <c r="E10">
        <v>4</v>
      </c>
      <c r="F10">
        <v>0</v>
      </c>
      <c r="G10">
        <v>0</v>
      </c>
      <c r="H10">
        <v>0</v>
      </c>
      <c r="I10">
        <v>0</v>
      </c>
      <c r="J10">
        <v>4</v>
      </c>
      <c r="L10">
        <v>0</v>
      </c>
      <c r="N10">
        <v>4</v>
      </c>
      <c r="O10">
        <v>4</v>
      </c>
    </row>
    <row r="11">
      <c r="A11" t="str">
        <v>P1</v>
      </c>
      <c r="B11" t="str">
        <v>GSA</v>
      </c>
      <c r="C11" t="str">
        <v>HIDRO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L11">
        <v>0</v>
      </c>
      <c r="N11">
        <v>0</v>
      </c>
      <c r="O11">
        <v>0</v>
      </c>
    </row>
    <row r="12">
      <c r="A12" t="str">
        <v>P1</v>
      </c>
      <c r="B12" t="str">
        <v>GSA</v>
      </c>
      <c r="C12" t="str">
        <v>REPAROS</v>
      </c>
      <c r="D12">
        <v>65</v>
      </c>
      <c r="E12">
        <v>22</v>
      </c>
      <c r="F12">
        <v>43</v>
      </c>
      <c r="G12">
        <v>5</v>
      </c>
      <c r="H12">
        <v>0</v>
      </c>
      <c r="I12">
        <v>4</v>
      </c>
      <c r="J12">
        <v>13</v>
      </c>
      <c r="L12">
        <v>5</v>
      </c>
      <c r="N12">
        <v>60</v>
      </c>
      <c r="O12">
        <v>60</v>
      </c>
    </row>
    <row r="13">
      <c r="A13" t="str">
        <v>P1</v>
      </c>
      <c r="B13" t="str">
        <v>GSA</v>
      </c>
      <c r="C13" t="str">
        <v>ESCOPO</v>
      </c>
      <c r="D13">
        <v>17</v>
      </c>
      <c r="E13">
        <v>17</v>
      </c>
      <c r="F13">
        <v>0</v>
      </c>
      <c r="G13">
        <v>4</v>
      </c>
      <c r="H13">
        <v>0</v>
      </c>
      <c r="I13">
        <v>4</v>
      </c>
      <c r="J13">
        <v>9</v>
      </c>
      <c r="L13">
        <v>5</v>
      </c>
      <c r="N13">
        <v>12</v>
      </c>
      <c r="O13">
        <v>12</v>
      </c>
    </row>
    <row r="14">
      <c r="A14" t="str">
        <v>P1</v>
      </c>
      <c r="B14" t="str">
        <v>ÁPIA</v>
      </c>
      <c r="C14" t="str">
        <v>REPAROS</v>
      </c>
      <c r="D14">
        <v>1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L14">
        <v>0</v>
      </c>
      <c r="N14">
        <v>1</v>
      </c>
      <c r="O14">
        <v>1</v>
      </c>
    </row>
    <row r="15">
      <c r="A15" t="str">
        <v>P1</v>
      </c>
      <c r="B15" t="str">
        <v>ÁPIA</v>
      </c>
      <c r="C15" t="str">
        <v>ESCOPO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L15">
        <v>0</v>
      </c>
      <c r="N15">
        <v>0</v>
      </c>
      <c r="O15">
        <v>0</v>
      </c>
    </row>
    <row r="16">
      <c r="A16" t="str">
        <v>P1</v>
      </c>
      <c r="B16" t="str">
        <v>SOMAFEL</v>
      </c>
      <c r="C16" t="str">
        <v>DOCUMENTAL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>
        <v>0</v>
      </c>
      <c r="N16">
        <v>0</v>
      </c>
      <c r="O16">
        <v>0</v>
      </c>
    </row>
    <row r="17">
      <c r="A17" t="str">
        <v>P1</v>
      </c>
      <c r="B17" t="str">
        <v>SOMAFEL</v>
      </c>
      <c r="C17" t="str">
        <v>HIDRO</v>
      </c>
      <c r="D17">
        <v>1</v>
      </c>
      <c r="E17">
        <v>1</v>
      </c>
      <c r="F17">
        <v>0</v>
      </c>
      <c r="G17">
        <v>0</v>
      </c>
      <c r="H17">
        <v>0</v>
      </c>
      <c r="I17">
        <v>0</v>
      </c>
      <c r="J17">
        <v>1</v>
      </c>
      <c r="L17">
        <v>0</v>
      </c>
      <c r="N17">
        <v>1</v>
      </c>
      <c r="O17">
        <v>1</v>
      </c>
    </row>
    <row r="18">
      <c r="A18" t="str">
        <v>P1</v>
      </c>
      <c r="B18" t="str">
        <v>SOMAFEL</v>
      </c>
      <c r="C18" t="str">
        <v>REPAROS</v>
      </c>
      <c r="D18">
        <v>3</v>
      </c>
      <c r="E18">
        <v>0</v>
      </c>
      <c r="F18">
        <v>3</v>
      </c>
      <c r="G18">
        <v>0</v>
      </c>
      <c r="H18">
        <v>0</v>
      </c>
      <c r="I18">
        <v>1</v>
      </c>
      <c r="J18">
        <v>2</v>
      </c>
      <c r="L18">
        <v>0</v>
      </c>
      <c r="N18">
        <v>3</v>
      </c>
      <c r="O18">
        <v>3</v>
      </c>
    </row>
    <row r="19">
      <c r="A19" t="str">
        <v>P1</v>
      </c>
      <c r="B19" t="str">
        <v>SOMAFEL</v>
      </c>
      <c r="C19" t="str">
        <v>ESCOPO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>
        <v>0</v>
      </c>
      <c r="N19">
        <v>0</v>
      </c>
      <c r="O19">
        <v>0</v>
      </c>
    </row>
    <row r="20">
      <c r="A20" t="str">
        <v>P2</v>
      </c>
      <c r="B20" t="str">
        <v>ATERPA</v>
      </c>
      <c r="C20" t="str">
        <v>DOCUMENTAL</v>
      </c>
      <c r="D20">
        <v>53</v>
      </c>
      <c r="E20">
        <v>53</v>
      </c>
      <c r="F20">
        <v>0</v>
      </c>
      <c r="G20">
        <v>0</v>
      </c>
      <c r="H20">
        <v>0</v>
      </c>
      <c r="I20">
        <v>0</v>
      </c>
      <c r="J20">
        <v>53</v>
      </c>
      <c r="L20">
        <v>25</v>
      </c>
      <c r="N20">
        <v>28</v>
      </c>
      <c r="O20">
        <v>28</v>
      </c>
    </row>
    <row r="21">
      <c r="A21" t="str">
        <v>P2</v>
      </c>
      <c r="B21" t="str">
        <v>ATERPA</v>
      </c>
      <c r="C21" t="str">
        <v>HIDRO</v>
      </c>
      <c r="D21">
        <v>40</v>
      </c>
      <c r="E21">
        <v>30</v>
      </c>
      <c r="F21">
        <v>10</v>
      </c>
      <c r="G21">
        <v>0</v>
      </c>
      <c r="H21">
        <v>0</v>
      </c>
      <c r="I21">
        <v>0</v>
      </c>
      <c r="J21">
        <v>40</v>
      </c>
      <c r="L21">
        <v>3</v>
      </c>
      <c r="N21">
        <v>37</v>
      </c>
      <c r="O21">
        <v>37</v>
      </c>
    </row>
    <row r="22">
      <c r="A22" t="str">
        <v>P2</v>
      </c>
      <c r="B22" t="str">
        <v>ATERPA</v>
      </c>
      <c r="C22" t="str">
        <v>REPAROS</v>
      </c>
      <c r="D22">
        <v>630</v>
      </c>
      <c r="E22">
        <v>251</v>
      </c>
      <c r="F22">
        <v>379</v>
      </c>
      <c r="G22">
        <v>105</v>
      </c>
      <c r="H22">
        <v>0</v>
      </c>
      <c r="I22">
        <v>0</v>
      </c>
      <c r="J22">
        <v>525</v>
      </c>
      <c r="L22">
        <v>191</v>
      </c>
      <c r="N22">
        <v>439</v>
      </c>
      <c r="O22">
        <v>439</v>
      </c>
    </row>
    <row r="23">
      <c r="A23" t="str">
        <v>P2</v>
      </c>
      <c r="B23" t="str">
        <v>ATERPA</v>
      </c>
      <c r="C23" t="str">
        <v>ESCOPO</v>
      </c>
      <c r="D23">
        <v>131</v>
      </c>
      <c r="E23">
        <v>131</v>
      </c>
      <c r="F23">
        <v>0</v>
      </c>
      <c r="G23">
        <v>8</v>
      </c>
      <c r="H23">
        <v>0</v>
      </c>
      <c r="I23">
        <v>0</v>
      </c>
      <c r="J23">
        <v>123</v>
      </c>
      <c r="L23">
        <v>44</v>
      </c>
      <c r="N23">
        <v>87</v>
      </c>
      <c r="O23">
        <v>87</v>
      </c>
    </row>
    <row r="24">
      <c r="A24" t="str">
        <v>P2</v>
      </c>
      <c r="B24" t="str">
        <v>CIVIL MASTER</v>
      </c>
      <c r="C24" t="str">
        <v>DOCUMENTAL</v>
      </c>
      <c r="D24">
        <v>1</v>
      </c>
      <c r="E24">
        <v>1</v>
      </c>
      <c r="F24">
        <v>0</v>
      </c>
      <c r="G24">
        <v>0</v>
      </c>
      <c r="H24">
        <v>0</v>
      </c>
      <c r="I24">
        <v>0</v>
      </c>
      <c r="J24">
        <v>1</v>
      </c>
      <c r="L24">
        <v>0</v>
      </c>
      <c r="N24">
        <v>1</v>
      </c>
      <c r="O24">
        <v>1</v>
      </c>
    </row>
    <row r="25">
      <c r="A25" t="str">
        <v>P2</v>
      </c>
      <c r="B25" t="str">
        <v>CIVIL MASTER</v>
      </c>
      <c r="C25" t="str">
        <v>HIDRO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L25">
        <v>0</v>
      </c>
      <c r="N25">
        <v>0</v>
      </c>
      <c r="O25">
        <v>0</v>
      </c>
    </row>
    <row r="26">
      <c r="A26" t="str">
        <v>P2</v>
      </c>
      <c r="B26" t="str">
        <v>CIVIL MASTER</v>
      </c>
      <c r="C26" t="str">
        <v>REPAROS</v>
      </c>
      <c r="D26">
        <v>3</v>
      </c>
      <c r="E26">
        <v>2</v>
      </c>
      <c r="F26">
        <v>1</v>
      </c>
      <c r="G26">
        <v>0</v>
      </c>
      <c r="H26">
        <v>0</v>
      </c>
      <c r="I26">
        <v>0</v>
      </c>
      <c r="J26">
        <v>3</v>
      </c>
      <c r="L26">
        <v>0</v>
      </c>
      <c r="N26">
        <v>3</v>
      </c>
      <c r="O26">
        <v>3</v>
      </c>
    </row>
    <row r="27">
      <c r="A27" t="str">
        <v>P2</v>
      </c>
      <c r="B27" t="str">
        <v>CIVIL MASTER</v>
      </c>
      <c r="C27" t="str">
        <v>ESCOPO</v>
      </c>
      <c r="D27">
        <v>2</v>
      </c>
      <c r="E27">
        <v>2</v>
      </c>
      <c r="F27">
        <v>0</v>
      </c>
      <c r="G27">
        <v>0</v>
      </c>
      <c r="H27">
        <v>0</v>
      </c>
      <c r="I27">
        <v>0</v>
      </c>
      <c r="J27">
        <v>2</v>
      </c>
      <c r="L27">
        <v>0</v>
      </c>
      <c r="N27">
        <v>2</v>
      </c>
      <c r="O27">
        <v>2</v>
      </c>
    </row>
    <row r="28">
      <c r="A28" t="str">
        <v>P2</v>
      </c>
      <c r="B28" t="str">
        <v>DR</v>
      </c>
      <c r="C28" t="str">
        <v>REPAROS</v>
      </c>
      <c r="D28">
        <v>4</v>
      </c>
      <c r="E28">
        <v>1</v>
      </c>
      <c r="F28">
        <v>3</v>
      </c>
      <c r="G28">
        <v>2</v>
      </c>
      <c r="H28">
        <v>0</v>
      </c>
      <c r="I28">
        <v>0</v>
      </c>
      <c r="J28">
        <v>2</v>
      </c>
      <c r="L28">
        <v>0</v>
      </c>
      <c r="N28">
        <v>4</v>
      </c>
      <c r="O28">
        <v>4</v>
      </c>
    </row>
    <row r="29">
      <c r="A29" t="str">
        <v>P2</v>
      </c>
      <c r="B29" t="str">
        <v>DR</v>
      </c>
      <c r="C29" t="str">
        <v>ESCOPO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L29">
        <v>0</v>
      </c>
      <c r="N29">
        <v>0</v>
      </c>
      <c r="O29">
        <v>0</v>
      </c>
    </row>
    <row r="30">
      <c r="A30" t="str">
        <v>P3</v>
      </c>
      <c r="B30" t="str">
        <v>ÁPIA</v>
      </c>
      <c r="C30" t="str">
        <v>DOCUMENTAL</v>
      </c>
      <c r="D30">
        <v>46</v>
      </c>
      <c r="E30">
        <v>46</v>
      </c>
      <c r="F30">
        <v>0</v>
      </c>
      <c r="G30">
        <v>0</v>
      </c>
      <c r="H30">
        <v>0</v>
      </c>
      <c r="I30">
        <v>0</v>
      </c>
      <c r="J30">
        <v>46</v>
      </c>
      <c r="L30">
        <v>5</v>
      </c>
      <c r="N30">
        <v>41</v>
      </c>
      <c r="O30">
        <v>41</v>
      </c>
    </row>
    <row r="31">
      <c r="A31" t="str">
        <v>P3</v>
      </c>
      <c r="B31" t="str">
        <v>ÁPIA</v>
      </c>
      <c r="C31" t="str">
        <v>HIDRO</v>
      </c>
      <c r="D31">
        <v>104</v>
      </c>
      <c r="E31">
        <v>73</v>
      </c>
      <c r="F31">
        <v>31</v>
      </c>
      <c r="G31">
        <v>0</v>
      </c>
      <c r="H31">
        <v>0</v>
      </c>
      <c r="I31">
        <v>6</v>
      </c>
      <c r="J31">
        <v>98</v>
      </c>
      <c r="L31">
        <v>8</v>
      </c>
      <c r="N31">
        <v>96</v>
      </c>
      <c r="O31">
        <v>96</v>
      </c>
    </row>
    <row r="32">
      <c r="A32" t="str">
        <v>P3</v>
      </c>
      <c r="B32" t="str">
        <v>ÁPIA</v>
      </c>
      <c r="C32" t="str">
        <v>REPAROS</v>
      </c>
      <c r="D32">
        <v>837</v>
      </c>
      <c r="E32">
        <v>370</v>
      </c>
      <c r="F32">
        <v>467</v>
      </c>
      <c r="G32">
        <v>78</v>
      </c>
      <c r="H32">
        <v>5</v>
      </c>
      <c r="I32">
        <v>115</v>
      </c>
      <c r="J32">
        <v>639</v>
      </c>
      <c r="L32">
        <v>211</v>
      </c>
      <c r="N32">
        <v>626</v>
      </c>
      <c r="O32">
        <v>626</v>
      </c>
    </row>
    <row r="33">
      <c r="A33" t="str">
        <v>P3</v>
      </c>
      <c r="B33" t="str">
        <v>ÁPIA</v>
      </c>
      <c r="C33" t="str">
        <v>ESCOPO</v>
      </c>
      <c r="D33">
        <v>27</v>
      </c>
      <c r="E33">
        <v>27</v>
      </c>
      <c r="F33">
        <v>0</v>
      </c>
      <c r="G33">
        <v>0</v>
      </c>
      <c r="H33">
        <v>0</v>
      </c>
      <c r="I33">
        <v>1</v>
      </c>
      <c r="J33">
        <v>26</v>
      </c>
      <c r="L33">
        <v>27</v>
      </c>
      <c r="N33">
        <v>0</v>
      </c>
      <c r="O33">
        <v>0</v>
      </c>
    </row>
    <row r="34">
      <c r="A34" t="str">
        <v>P3</v>
      </c>
      <c r="B34" t="str">
        <v>SOMAFEL</v>
      </c>
      <c r="C34" t="str">
        <v>REPAROS</v>
      </c>
      <c r="D34">
        <v>2</v>
      </c>
      <c r="E34">
        <v>0</v>
      </c>
      <c r="F34">
        <v>2</v>
      </c>
      <c r="G34">
        <v>0</v>
      </c>
      <c r="H34">
        <v>0</v>
      </c>
      <c r="I34">
        <v>0</v>
      </c>
      <c r="J34">
        <v>2</v>
      </c>
      <c r="L34">
        <v>0</v>
      </c>
      <c r="N34">
        <v>2</v>
      </c>
      <c r="O34">
        <v>2</v>
      </c>
    </row>
    <row r="35">
      <c r="A35" t="str">
        <v>P3</v>
      </c>
      <c r="B35" t="str">
        <v>SOMAFEL</v>
      </c>
      <c r="C35" t="str">
        <v>ESCOPO</v>
      </c>
      <c r="D35">
        <v>11</v>
      </c>
      <c r="E35">
        <v>11</v>
      </c>
      <c r="F35">
        <v>0</v>
      </c>
      <c r="G35">
        <v>0</v>
      </c>
      <c r="H35">
        <v>0</v>
      </c>
      <c r="I35">
        <v>0</v>
      </c>
      <c r="J35">
        <v>11</v>
      </c>
      <c r="L35">
        <v>0</v>
      </c>
      <c r="N35">
        <v>11</v>
      </c>
      <c r="O35">
        <v>11</v>
      </c>
    </row>
    <row r="36">
      <c r="A36" t="str">
        <v>P3</v>
      </c>
      <c r="B36" t="str">
        <v>DR</v>
      </c>
      <c r="C36" t="str">
        <v>REPAROS</v>
      </c>
      <c r="D36">
        <v>7</v>
      </c>
      <c r="E36">
        <v>1</v>
      </c>
      <c r="F36">
        <v>6</v>
      </c>
      <c r="G36">
        <v>0</v>
      </c>
      <c r="H36">
        <v>0</v>
      </c>
      <c r="I36">
        <v>0</v>
      </c>
      <c r="J36">
        <v>7</v>
      </c>
      <c r="L36">
        <v>0</v>
      </c>
      <c r="N36">
        <v>7</v>
      </c>
      <c r="O36">
        <v>7</v>
      </c>
    </row>
    <row r="37">
      <c r="A37" t="str">
        <v>P1</v>
      </c>
      <c r="B37" t="str">
        <v>VALE</v>
      </c>
      <c r="C37" t="str">
        <v>HIDRO</v>
      </c>
      <c r="D37">
        <v>13</v>
      </c>
      <c r="K37">
        <v>0</v>
      </c>
      <c r="P37" t="str">
        <v>Dado desatualizado (ref. 04/07/2026) — atualizar com número atual</v>
      </c>
    </row>
    <row r="38">
      <c r="A38" t="str">
        <v>P1</v>
      </c>
      <c r="B38" t="str">
        <v>VALE</v>
      </c>
      <c r="C38" t="str">
        <v>REPAROS</v>
      </c>
      <c r="D38">
        <v>88</v>
      </c>
      <c r="K38">
        <v>1</v>
      </c>
      <c r="P38" t="str">
        <v>Dado desatualizado (ref. 04/07/2026) — atualizar com número atual</v>
      </c>
    </row>
    <row r="39">
      <c r="A39" t="str">
        <v>P2</v>
      </c>
      <c r="B39" t="str">
        <v>VALE</v>
      </c>
      <c r="C39" t="str">
        <v>REPAROS</v>
      </c>
      <c r="D39">
        <v>10</v>
      </c>
      <c r="K39">
        <v>0</v>
      </c>
      <c r="P39" t="str">
        <v>Dado desatualizado (ref. 04/07/2026) — atualizar com número atual</v>
      </c>
    </row>
    <row r="40">
      <c r="A40" t="str">
        <v>P3</v>
      </c>
      <c r="B40" t="str">
        <v>VALE</v>
      </c>
      <c r="C40" t="str">
        <v>REPAROS</v>
      </c>
      <c r="D40">
        <v>14</v>
      </c>
      <c r="K40">
        <v>0</v>
      </c>
      <c r="P40" t="str">
        <v>Dado desatualizado (ref. 04/07/2026) — atualizar com número atual</v>
      </c>
    </row>
  </sheetData>
  <ignoredErrors>
    <ignoredError numberStoredAsText="1" sqref="A1:P4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17"/>
  <sheetViews>
    <sheetView workbookViewId="0" rightToLeft="0"/>
  </sheetViews>
  <sheetData>
    <row r="1">
      <c r="A1" t="str">
        <v>PACOTE</v>
      </c>
      <c r="B1" t="str">
        <v>N_EQUIPES</v>
      </c>
      <c r="C1" t="str">
        <v>PEND_SEMANA</v>
      </c>
      <c r="D1" t="str">
        <v>PEND_DIA</v>
      </c>
      <c r="E1" t="str">
        <v>COLABORADORES</v>
      </c>
      <c r="F1" t="str">
        <v>ATUAL</v>
      </c>
      <c r="G1" t="str">
        <v>NECESSARIO</v>
      </c>
      <c r="H1" t="str">
        <v>NOTA</v>
      </c>
    </row>
    <row r="2">
      <c r="A2" t="str">
        <v>P1</v>
      </c>
      <c r="B2">
        <v>1</v>
      </c>
      <c r="C2">
        <v>5.42857142857143</v>
      </c>
      <c r="D2">
        <v>1.075</v>
      </c>
      <c r="E2">
        <v>1.0857142857142859</v>
      </c>
      <c r="F2" t="str">
        <v>SIM</v>
      </c>
    </row>
    <row r="3">
      <c r="A3" t="str">
        <v>P1</v>
      </c>
      <c r="B3">
        <v>2</v>
      </c>
      <c r="C3">
        <v>10.285714285714286</v>
      </c>
      <c r="D3">
        <v>2.525</v>
      </c>
      <c r="E3">
        <v>2.0571428571428574</v>
      </c>
    </row>
    <row r="4">
      <c r="A4" t="str">
        <v>P1</v>
      </c>
      <c r="B4">
        <v>3</v>
      </c>
      <c r="C4">
        <v>45.57142857142857</v>
      </c>
      <c r="D4">
        <v>2.5</v>
      </c>
      <c r="E4">
        <v>9.114285714285714</v>
      </c>
      <c r="G4" t="str">
        <v>SIM</v>
      </c>
    </row>
    <row r="5">
      <c r="A5" t="str">
        <v>P2</v>
      </c>
    </row>
    <row r="6">
      <c r="A6" t="str">
        <v>P2</v>
      </c>
    </row>
    <row r="7">
      <c r="A7" t="str">
        <v>P2</v>
      </c>
    </row>
    <row r="8">
      <c r="A8" t="str">
        <v>P2</v>
      </c>
    </row>
    <row r="9">
      <c r="A9" t="str">
        <v>P2</v>
      </c>
    </row>
    <row r="10">
      <c r="A10" t="str">
        <v>P2</v>
      </c>
    </row>
    <row r="11">
      <c r="A11" t="str">
        <v>P2</v>
      </c>
    </row>
    <row r="12">
      <c r="A12" t="str">
        <v>P2</v>
      </c>
    </row>
    <row r="13">
      <c r="A13" t="str">
        <v>P3</v>
      </c>
    </row>
    <row r="14">
      <c r="A14" t="str">
        <v>P3</v>
      </c>
    </row>
    <row r="15">
      <c r="A15" t="str">
        <v>P3</v>
      </c>
    </row>
    <row r="16">
      <c r="A16" t="str">
        <v>P3</v>
      </c>
    </row>
    <row r="17">
      <c r="A17" t="str">
        <v>P3</v>
      </c>
    </row>
  </sheetData>
  <ignoredErrors>
    <ignoredError numberStoredAsText="1" sqref="A1:H1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17"/>
  <sheetViews>
    <sheetView workbookViewId="0" rightToLeft="0"/>
  </sheetViews>
  <sheetData>
    <row r="1">
      <c r="A1" t="str">
        <v>PACOTE</v>
      </c>
      <c r="B1" t="str">
        <v>TIPO</v>
      </c>
      <c r="C1" t="str">
        <v>TITULO</v>
      </c>
      <c r="D1" t="str">
        <v>TEXTO</v>
      </c>
    </row>
    <row r="2">
      <c r="A2" t="str">
        <v>GERAL</v>
      </c>
      <c r="B2" t="str">
        <v>CRITICO</v>
      </c>
      <c r="C2" t="str">
        <v>Gap crítico de mobilização — Pacote 02</v>
      </c>
      <c r="D2" t="str">
        <v>ATERPA com 30 colaboradores mobilizados frente aos 60 necessários (5 equipes × 12). Ritmo atual não zera as 684 pendências no prazo.</v>
      </c>
    </row>
    <row r="3">
      <c r="A3" t="str">
        <v>GERAL</v>
      </c>
      <c r="B3" t="str">
        <v>AVISO</v>
      </c>
      <c r="C3" t="str">
        <v>Risco de refazimento — Pacote 01</v>
      </c>
      <c r="D3" t="str">
        <v>EMPA reporta ~40% de refazimento pós reinspeção. Combinado acompanhar e, se percentual se mantiver, incrementar equipes para preservar marco 15/10.</v>
      </c>
    </row>
    <row r="4">
      <c r="A4" t="str">
        <v>GERAL</v>
      </c>
      <c r="B4" t="str">
        <v>INFO</v>
      </c>
      <c r="C4" t="str">
        <v>Reinspeção em curso</v>
      </c>
      <c r="D4" t="str">
        <v>EMPA solicitará reinspeção de 140 pendências em 48h. Controle VALE registra 99 baixadas contra 308 no controle EMPA — divergência sob avaliação.</v>
      </c>
    </row>
    <row r="5">
      <c r="A5" t="str">
        <v>GERAL</v>
      </c>
      <c r="B5" t="str">
        <v>INFO</v>
      </c>
      <c r="C5" t="str">
        <v>RNCs em campo</v>
      </c>
      <c r="D5" t="str">
        <v>65 RNCs totais em tratativa de campo (15 · P1 · sem equipe específica · prev. jul/26 + 20 · P2 + 30 · P3).</v>
      </c>
    </row>
    <row r="6">
      <c r="A6" t="str">
        <v>P1</v>
      </c>
      <c r="B6" t="str">
        <v>AVISO</v>
      </c>
      <c r="C6" t="str">
        <v>Taxa de refazimento pós reinspeção ≈ 40%</v>
      </c>
      <c r="D6" t="str">
        <v>Alertada a EMPA. Combinado de acompanhar o avanço; caso o percentual se mantenha e coloque em risco o prazo final de setembro, será necessário incrementar as equipes.</v>
      </c>
    </row>
    <row r="7">
      <c r="A7" t="str">
        <v>P1</v>
      </c>
      <c r="B7" t="str">
        <v>INFO</v>
      </c>
      <c r="C7" t="str">
        <v>Divergência de baixas · VALE × EMPA</v>
      </c>
      <c r="D7" t="str">
        <v xml:space="preserve">Controle VALE registra 99 baixadas. EMPA vai solicitar reinspeção de 140 pendências entre hoje e amanhã. </v>
      </c>
    </row>
    <row r="8">
      <c r="A8" t="str">
        <v>P1</v>
      </c>
      <c r="B8" t="str">
        <v>CRITICO</v>
      </c>
      <c r="C8" t="str">
        <v>Gap crítico de mobilização — Pacote 01</v>
      </c>
      <c r="D8" t="str">
        <v>EMPA com 12 colaboradores mobilizados frente aos 36 necessários (3 equipes × 12). Ritmo atual não zera as 749 pendências no prazo.</v>
      </c>
    </row>
    <row r="9">
      <c r="A9" t="str">
        <v>P1</v>
      </c>
      <c r="B9" t="str">
        <v>INFO</v>
      </c>
      <c r="C9" t="str">
        <v>Marcos contratuais · 15/10/2026</v>
      </c>
      <c r="D9" t="str">
        <v>Hidro (90) e TAC 05 (132) têm marco final até 15/10. Prioridade de execução no cronograma.</v>
      </c>
    </row>
    <row r="10">
      <c r="A10" t="str">
        <v>P2</v>
      </c>
      <c r="B10" t="str">
        <v>CRITICO</v>
      </c>
      <c r="C10" t="str">
        <v>Gap de mobilização de 50%</v>
      </c>
      <c r="D10" t="str">
        <v>30 colaboradores mobilizados × 60 necessários. Composição atual (1 enc + 29 serv) precisa evoluir para 5 equipes de 12 (1 enc + 4 of + 8 serv por equipe).</v>
      </c>
    </row>
    <row r="11">
      <c r="A11" t="str">
        <v>P2</v>
      </c>
      <c r="B11" t="str">
        <v>AVISO</v>
      </c>
      <c r="C11" t="str">
        <v>Baixo avanço acumulado (7%)</v>
      </c>
      <c r="D11" t="str">
        <v>Apenas 50 de 734 pendências executadas. Mobilização a partir de 15/07 precisa acelerar para reduzir o risco de estouro do marco de encerramento.</v>
      </c>
    </row>
    <row r="12">
      <c r="A12" t="str">
        <v>P2</v>
      </c>
      <c r="B12" t="str">
        <v>INFO</v>
      </c>
      <c r="C12" t="str">
        <v>Reinspeção Vale em campo</v>
      </c>
      <c r="D12" t="str">
        <v>Vale está fazendo reinspeção em campo para baixar novas pendências — números podem sofrer ajuste.</v>
      </c>
    </row>
    <row r="13">
      <c r="A13" t="str">
        <v>P2</v>
      </c>
      <c r="B13" t="str">
        <v>CRITICO</v>
      </c>
      <c r="C13" t="str">
        <v>RNCs em campo · 20</v>
      </c>
      <c r="D13" t="str">
        <v>20 RNCs para tratativas em campo.</v>
      </c>
    </row>
    <row r="14">
      <c r="A14" t="str">
        <v>P3</v>
      </c>
      <c r="B14" t="str">
        <v>AVISO</v>
      </c>
      <c r="C14" t="str">
        <v>Gap de mobilização de 25%</v>
      </c>
      <c r="D14" t="str">
        <v>36 colaboradores mobilizados × 48 necessários. Faltam 12 colaboradores (equivalente a 1 equipe adicional) para atingir o dimensionamento ideal.</v>
      </c>
    </row>
    <row r="15">
      <c r="A15" t="str">
        <v>P3</v>
      </c>
      <c r="B15" t="str">
        <v>AVISO</v>
      </c>
      <c r="C15" t="str">
        <v>Baixo avanço acumulado (9%)</v>
      </c>
      <c r="D15" t="str">
        <v>Apenas 56 de 595 pendências executadas. Necessário aceleração para reduzir risco no encerramento.</v>
      </c>
    </row>
    <row r="16">
      <c r="A16" t="str">
        <v>P3</v>
      </c>
      <c r="B16" t="str">
        <v>CRITICO</v>
      </c>
      <c r="C16" t="str">
        <v>RNCs em campo · 30</v>
      </c>
      <c r="D16" t="str">
        <v>Aproximadamente 30 RNCs para tratativas em campo — maior volume entre os três pacotes.</v>
      </c>
    </row>
    <row r="17">
      <c r="A17" t="str">
        <v>P3</v>
      </c>
      <c r="B17" t="str">
        <v>INFO</v>
      </c>
      <c r="C17" t="str">
        <v>Estrutura em 2 frentes</v>
      </c>
      <c r="D17" t="str">
        <v>Operação estruturada em 2 equipes (18 serventes + 1 encarregado cada) — ampliar para 4 frentes exige nova frente com 1 encarregado + 4 oficiais + 8 serventes.</v>
      </c>
    </row>
  </sheetData>
  <pageMargins left="0.75" right="0.75" top="1" bottom="1" header="0.511811023622047" footer="0.511811023622047"/>
  <ignoredErrors>
    <ignoredError numberStoredAsText="1" sqref="A1:D1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7"/>
  <sheetViews>
    <sheetView workbookViewId="0" rightToLeft="0"/>
  </sheetViews>
  <sheetData>
    <row r="1">
      <c r="A1" t="str">
        <v>CHAVE</v>
      </c>
      <c r="B1" t="str">
        <v>VALOR</v>
      </c>
    </row>
    <row r="2">
      <c r="A2" t="str">
        <v>TITULO</v>
      </c>
      <c r="B2" t="str">
        <v>Painel de Pendências FICO Infra — Encerramento de Obra</v>
      </c>
    </row>
    <row r="3">
      <c r="A3" t="str">
        <v>SUBTITULO</v>
      </c>
      <c r="B3" t="str">
        <v>Ferrovia de Integração Centro-Oeste · EF-354 · KM 0–104+500 · Pacotes 01, 02 e 03</v>
      </c>
    </row>
    <row r="4">
      <c r="A4" t="str">
        <v>DATA_REFERENCIA</v>
      </c>
      <c r="B4" t="str">
        <v xml:space="preserve">11/08/2026 </v>
      </c>
    </row>
    <row r="5">
      <c r="A5" t="str">
        <v>CADENCIA</v>
      </c>
      <c r="B5" t="str">
        <v>Atualização semanal</v>
      </c>
    </row>
    <row r="6">
      <c r="A6" t="str">
        <v>PREMISSA</v>
      </c>
      <c r="B6" t="str">
        <v>1 equipe com 12 colaboradores (1 encarregado + 4 oficiais + 8 serventes) executa em média 2 pendências/dia</v>
      </c>
    </row>
    <row r="7">
      <c r="A7" t="str">
        <v>MARCO_FINAL</v>
      </c>
      <c r="B7" t="str">
        <v>15/10/2026 — Hidro e TAC 05 (Pacote 01)</v>
      </c>
    </row>
  </sheetData>
  <pageMargins left="0.75" right="0.75" top="1" bottom="1" header="0.511811023622047" footer="0.511811023622047"/>
  <ignoredErrors>
    <ignoredError numberStoredAsText="1" sqref="A1:B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2026-07-04T23:14:05Z</dcterms:created>
  <dcterms:modified xsi:type="dcterms:W3CDTF">2026-08-18T12:10:05Z</dcterms:modified>
  <cp:lastModifiedBy>Thyago Viégas</cp:lastModifiedBy>
  <cp:revision>0</cp:revision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