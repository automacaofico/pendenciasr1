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turntown-my.sharepoint.com/personal/eder_valasco_turntown_com/Documents/Documentos/"/>
    </mc:Choice>
  </mc:AlternateContent>
  <xr:revisionPtr revIDLastSave="4" documentId="8_{B9AEEC8C-2E75-45A0-9A07-8D2E18D297B0}" xr6:coauthVersionLast="47" xr6:coauthVersionMax="47" xr10:uidLastSave="{9D8B146B-7487-4106-BE4B-2AC7CBACE008}"/>
  <bookViews>
    <workbookView xWindow="-110" yWindow="-110" windowWidth="19420" windowHeight="11500" tabRatio="500" firstSheet="1" activeTab="2" xr2:uid="{00000000-000D-0000-FFFF-FFFF00000000}"/>
  </bookViews>
  <sheets>
    <sheet name="INSTRUCOES" sheetId="1" r:id="rId1"/>
    <sheet name="PACOTES" sheetId="2" r:id="rId2"/>
    <sheet name="PENDENCIAS" sheetId="3" r:id="rId3"/>
    <sheet name="CENARIOS" sheetId="4" r:id="rId4"/>
    <sheet name="ALERTAS" sheetId="5" r:id="rId5"/>
    <sheet name="META" sheetId="6" r:id="rId6"/>
  </sheets>
  <definedNames>
    <definedName name="_xlnm._FilterDatabase" localSheetId="2" hidden="1">PENDENCIAS!$A$1:$P$31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6" i="4" l="1"/>
  <c r="D25" i="4"/>
  <c r="C3" i="4"/>
  <c r="D3" i="4" s="1"/>
  <c r="C8" i="4"/>
  <c r="D8" i="4" s="1"/>
  <c r="C9" i="4"/>
  <c r="D9" i="4" s="1"/>
  <c r="C10" i="4"/>
  <c r="D10" i="4" s="1"/>
  <c r="C11" i="4"/>
  <c r="D11" i="4" s="1"/>
  <c r="C16" i="4"/>
  <c r="C17" i="4"/>
  <c r="D17" i="4" s="1"/>
  <c r="C18" i="4"/>
  <c r="D18" i="4" s="1"/>
  <c r="C19" i="4"/>
  <c r="D19" i="4" s="1"/>
  <c r="C24" i="4"/>
  <c r="D24" i="4" s="1"/>
  <c r="C25" i="4"/>
  <c r="C26" i="4"/>
  <c r="D26" i="4" s="1"/>
  <c r="C2" i="4"/>
  <c r="D2" i="4" s="1"/>
  <c r="O31" i="3"/>
  <c r="O30" i="3"/>
  <c r="O29" i="3"/>
  <c r="O28" i="3"/>
  <c r="O27" i="3"/>
  <c r="O26" i="3"/>
  <c r="O25" i="3"/>
  <c r="O24" i="3"/>
  <c r="O23" i="3"/>
  <c r="O22" i="3"/>
  <c r="O21" i="3"/>
  <c r="O20" i="3"/>
  <c r="O19" i="3"/>
  <c r="O18" i="3"/>
  <c r="O17" i="3"/>
  <c r="O16" i="3"/>
  <c r="O15" i="3"/>
  <c r="O14" i="3"/>
  <c r="O13" i="3"/>
  <c r="O12" i="3"/>
  <c r="O11" i="3"/>
  <c r="O10" i="3"/>
  <c r="O9" i="3"/>
  <c r="O8" i="3"/>
  <c r="O7" i="3"/>
  <c r="O6" i="3"/>
  <c r="O5" i="3"/>
  <c r="O4" i="3"/>
  <c r="O3" i="3"/>
  <c r="O2" i="3"/>
  <c r="N31" i="3"/>
  <c r="C31" i="4" s="1"/>
  <c r="D31" i="4" s="1"/>
  <c r="N30" i="3"/>
  <c r="C30" i="4" s="1"/>
  <c r="D30" i="4" s="1"/>
  <c r="N29" i="3"/>
  <c r="C29" i="4" s="1"/>
  <c r="D29" i="4" s="1"/>
  <c r="N28" i="3"/>
  <c r="C28" i="4" s="1"/>
  <c r="D28" i="4" s="1"/>
  <c r="N27" i="3"/>
  <c r="C27" i="4" s="1"/>
  <c r="D27" i="4" s="1"/>
  <c r="N26" i="3"/>
  <c r="N25" i="3"/>
  <c r="N24" i="3"/>
  <c r="N23" i="3"/>
  <c r="C23" i="4" s="1"/>
  <c r="D23" i="4" s="1"/>
  <c r="N22" i="3"/>
  <c r="C22" i="4" s="1"/>
  <c r="D22" i="4" s="1"/>
  <c r="N21" i="3"/>
  <c r="C21" i="4" s="1"/>
  <c r="D21" i="4" s="1"/>
  <c r="N20" i="3"/>
  <c r="C20" i="4" s="1"/>
  <c r="D20" i="4" s="1"/>
  <c r="N19" i="3"/>
  <c r="N18" i="3"/>
  <c r="N17" i="3"/>
  <c r="N16" i="3"/>
  <c r="N15" i="3"/>
  <c r="C15" i="4" s="1"/>
  <c r="D15" i="4" s="1"/>
  <c r="N14" i="3"/>
  <c r="C14" i="4" s="1"/>
  <c r="D14" i="4" s="1"/>
  <c r="N13" i="3"/>
  <c r="C13" i="4" s="1"/>
  <c r="D13" i="4" s="1"/>
  <c r="N12" i="3"/>
  <c r="C12" i="4" s="1"/>
  <c r="D12" i="4" s="1"/>
  <c r="N11" i="3"/>
  <c r="N10" i="3"/>
  <c r="N9" i="3"/>
  <c r="N8" i="3"/>
  <c r="N7" i="3"/>
  <c r="C7" i="4" s="1"/>
  <c r="D7" i="4" s="1"/>
  <c r="N6" i="3"/>
  <c r="C6" i="4" s="1"/>
  <c r="D6" i="4" s="1"/>
  <c r="N5" i="3"/>
  <c r="C5" i="4" s="1"/>
  <c r="D5" i="4" s="1"/>
  <c r="N4" i="3"/>
  <c r="C4" i="4" s="1"/>
  <c r="D4" i="4" s="1"/>
  <c r="N3" i="3"/>
  <c r="N2" i="3"/>
  <c r="F14" i="3"/>
  <c r="E3" i="4" l="1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2" i="4"/>
  <c r="F30" i="3" l="1"/>
  <c r="F29" i="3"/>
  <c r="F15" i="3" l="1"/>
  <c r="F12" i="3"/>
  <c r="F8" i="3"/>
  <c r="F10" i="3"/>
  <c r="F5" i="3"/>
  <c r="F3" i="3"/>
  <c r="F4" i="3"/>
  <c r="F6" i="3"/>
  <c r="F9" i="3"/>
  <c r="F11" i="3"/>
  <c r="F13" i="3"/>
  <c r="F2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31" i="3"/>
  <c r="F7" i="3"/>
  <c r="I2" i="2" l="1"/>
  <c r="J2" i="2" s="1"/>
  <c r="J10" i="2"/>
  <c r="J6" i="2"/>
</calcChain>
</file>

<file path=xl/sharedStrings.xml><?xml version="1.0" encoding="utf-8"?>
<sst xmlns="http://schemas.openxmlformats.org/spreadsheetml/2006/main" count="294" uniqueCount="129">
  <si>
    <t>PAINEL DE PENDÊNCIAS FICO INFRA — BASE ÚNICA DE DADOS</t>
  </si>
  <si>
    <t>Esta planilha é a FONTE ÚNICA do painel. Todo o conteúdo do HTML (números, cards, tabelas, cenários e alertas) é lido daqui.</t>
  </si>
  <si>
    <t>COMO ATUALIZAR:</t>
  </si>
  <si>
    <t>1. Edite os valores nas abas abaixo. NÃO altere nomes de abas nem os cabeçalhos da linha 1.</t>
  </si>
  <si>
    <t>2. A coluna PENDENTE (aba PENDENCIAS) e GAP_PCT (aba PACOTES) são fórmulas — não preencha à mão.</t>
  </si>
  <si>
    <t>3. Salve e suba no GitHub com o nome fixo: Base_Pendencias_FICO.xlsx</t>
  </si>
  <si>
    <t>4. O painel HTML puxa automaticamente a cada abertura (indicador 'sincronizado' no topo).</t>
  </si>
  <si>
    <t>ABAS:</t>
  </si>
  <si>
    <t xml:space="preserve">   • PACOTES     — 1 linha por pacote: empresa, KM, efetivo (enc/of/serv), mobilizado, necessário, cronograma, RNC, status.</t>
  </si>
  <si>
    <t xml:space="preserve">   • PENDENCIAS  — escopo por tipo (Total / Executado). PENDENTE é calculado.</t>
  </si>
  <si>
    <t xml:space="preserve">   • CENARIOS    — cenários de dimensionamento (1 a N equipes). ATUAL/NECESSARIO = marque com SIM.</t>
  </si>
  <si>
    <t xml:space="preserve">   • ALERTAS     — cards de alerta. PACOTE = GERAL / P1 / P2 / P3. TIPO = CRITICO / AVISO / INFO.</t>
  </si>
  <si>
    <t xml:space="preserve">   • META        — título, subtítulo, data de referência, premissa, marco.</t>
  </si>
  <si>
    <t>REGRAS DO SEMÁFORO (cor calculada pelo GAP): 0% = verde · até 30% = amarelo · acima de 30% = vermelho.</t>
  </si>
  <si>
    <t>O texto do status vem da coluna STATUS_TXT (aba PACOTES).</t>
  </si>
  <si>
    <t>PACOTE</t>
  </si>
  <si>
    <t>EMPRESA</t>
  </si>
  <si>
    <t>KM</t>
  </si>
  <si>
    <t>CRONOGRAMA</t>
  </si>
  <si>
    <t>ENCARREGADOS</t>
  </si>
  <si>
    <t>OFICIAIS</t>
  </si>
  <si>
    <t>SERVENTES</t>
  </si>
  <si>
    <t>MOBILIZADO</t>
  </si>
  <si>
    <t>NECESSARIO</t>
  </si>
  <si>
    <t>GAP_PCT</t>
  </si>
  <si>
    <t>STATUS_TXT</t>
  </si>
  <si>
    <t>RNC</t>
  </si>
  <si>
    <t>START_SEMANA</t>
  </si>
  <si>
    <t>EXTRA_LABEL</t>
  </si>
  <si>
    <t>EXTRA_VALUE</t>
  </si>
  <si>
    <t>MOB_NOTA</t>
  </si>
  <si>
    <t>P1</t>
  </si>
  <si>
    <t>EMPA</t>
  </si>
  <si>
    <t>KM 0 – 34+500</t>
  </si>
  <si>
    <t>Jul (4) + Ago (4) + Set (4) = 12 semanas</t>
  </si>
  <si>
    <t>Mobilização crítica</t>
  </si>
  <si>
    <t>Marco final</t>
  </si>
  <si>
    <t>15/10/2026</t>
  </si>
  <si>
    <t>P2</t>
  </si>
  <si>
    <t>ATERPA</t>
  </si>
  <si>
    <t>KM 34+500 – 69+500</t>
  </si>
  <si>
    <t>Jul (2) + Ago (4) + Set (4) = 10 semanas</t>
  </si>
  <si>
    <t>Mobilização a partir de</t>
  </si>
  <si>
    <t>15/07/2026</t>
  </si>
  <si>
    <t>Mobilização a partir de 15/07/2026. Vale está fazendo reinspeção em campo para baixar novas pendências.</t>
  </si>
  <si>
    <t>P3</t>
  </si>
  <si>
    <t>ÁPIA</t>
  </si>
  <si>
    <t>KM 69+500 – 104+500</t>
  </si>
  <si>
    <t>Atenção</t>
  </si>
  <si>
    <t>Equipes atuais</t>
  </si>
  <si>
    <t>2 frentes</t>
  </si>
  <si>
    <t>TIPO</t>
  </si>
  <si>
    <t>TOTAL</t>
  </si>
  <si>
    <t>EXECUTADO</t>
  </si>
  <si>
    <t>OBSERVACAO</t>
  </si>
  <si>
    <t>DOCUMENTAL</t>
  </si>
  <si>
    <t>HIDRO</t>
  </si>
  <si>
    <t>REPAROS</t>
  </si>
  <si>
    <t>N_EQUIPES</t>
  </si>
  <si>
    <t>PEND_SEMANA</t>
  </si>
  <si>
    <t>PEND_DIA</t>
  </si>
  <si>
    <t>COLABORADORES</t>
  </si>
  <si>
    <t>ATUAL</t>
  </si>
  <si>
    <t>NOTA</t>
  </si>
  <si>
    <t>TITULO</t>
  </si>
  <si>
    <t>TEXTO</t>
  </si>
  <si>
    <t>GERAL</t>
  </si>
  <si>
    <t>CRITICO</t>
  </si>
  <si>
    <t>Gap crítico de mobilização — Pacote 02</t>
  </si>
  <si>
    <t>ATERPA com 30 colaboradores mobilizados frente aos 60 necessários (5 equipes × 12). Ritmo atual não zera as 684 pendências no prazo.</t>
  </si>
  <si>
    <t>AVISO</t>
  </si>
  <si>
    <t>Risco de refazimento — Pacote 01</t>
  </si>
  <si>
    <t>EMPA reporta ~40% de refazimento pós reinspeção. Combinado acompanhar e, se percentual se mantiver, incrementar equipes para preservar marco 15/10.</t>
  </si>
  <si>
    <t>INFO</t>
  </si>
  <si>
    <t>Reinspeção em curso</t>
  </si>
  <si>
    <t>EMPA solicitará reinspeção de 140 pendências em 48h. Controle VALE registra 99 baixadas contra 308 no controle EMPA — divergência sob avaliação.</t>
  </si>
  <si>
    <t>RNCs em campo</t>
  </si>
  <si>
    <t>65 RNCs totais em tratativa de campo (15 · P1 · sem equipe específica · prev. jul/26 + 20 · P2 + 30 · P3).</t>
  </si>
  <si>
    <t>Taxa de refazimento pós reinspeção ≈ 40%</t>
  </si>
  <si>
    <t>Alertada a EMPA. Combinado de acompanhar o avanço; caso o percentual se mantenha e coloque em risco o prazo final de setembro, será necessário incrementar as equipes.</t>
  </si>
  <si>
    <t>Divergência de baixas · VALE × EMPA</t>
  </si>
  <si>
    <t xml:space="preserve">Controle VALE registra 99 baixadas. EMPA vai solicitar reinspeção de 140 pendências entre hoje e amanhã. </t>
  </si>
  <si>
    <t>Gap crítico de mobilização — Pacote 01</t>
  </si>
  <si>
    <t>EMPA com 12 colaboradores mobilizados frente aos 36 necessários (3 equipes × 12). Ritmo atual não zera as 749 pendências no prazo.</t>
  </si>
  <si>
    <t>Marcos contratuais · 15/10/2026</t>
  </si>
  <si>
    <t>Hidro (90) e TAC 05 (132) têm marco final até 15/10. Prioridade de execução no cronograma.</t>
  </si>
  <si>
    <t>Gap de mobilização de 50%</t>
  </si>
  <si>
    <t>30 colaboradores mobilizados × 60 necessários. Composição atual (1 enc + 29 serv) precisa evoluir para 5 equipes de 12 (1 enc + 4 of + 8 serv por equipe).</t>
  </si>
  <si>
    <t>Baixo avanço acumulado (7%)</t>
  </si>
  <si>
    <t>Apenas 50 de 734 pendências executadas. Mobilização a partir de 15/07 precisa acelerar para reduzir o risco de estouro do marco de encerramento.</t>
  </si>
  <si>
    <t>Reinspeção Vale em campo</t>
  </si>
  <si>
    <t>Vale está fazendo reinspeção em campo para baixar novas pendências — números podem sofrer ajuste.</t>
  </si>
  <si>
    <t>RNCs em campo · 20</t>
  </si>
  <si>
    <t>20 RNCs para tratativas em campo.</t>
  </si>
  <si>
    <t>Gap de mobilização de 25%</t>
  </si>
  <si>
    <t>36 colaboradores mobilizados × 48 necessários. Faltam 12 colaboradores (equivalente a 1 equipe adicional) para atingir o dimensionamento ideal.</t>
  </si>
  <si>
    <t>Baixo avanço acumulado (9%)</t>
  </si>
  <si>
    <t>Apenas 56 de 595 pendências executadas. Necessário aceleração para reduzir risco no encerramento.</t>
  </si>
  <si>
    <t>RNCs em campo · 30</t>
  </si>
  <si>
    <t>Aproximadamente 30 RNCs para tratativas em campo — maior volume entre os três pacotes.</t>
  </si>
  <si>
    <t>Estrutura em 2 frentes</t>
  </si>
  <si>
    <t>Operação estruturada em 2 equipes (18 serventes + 1 encarregado cada) — ampliar para 4 frentes exige nova frente com 1 encarregado + 4 oficiais + 8 serventes.</t>
  </si>
  <si>
    <t>CHAVE</t>
  </si>
  <si>
    <t>VALOR</t>
  </si>
  <si>
    <t>Painel de Pendências FICO Infra — Encerramento de Obra</t>
  </si>
  <si>
    <t>SUBTITULO</t>
  </si>
  <si>
    <t>Ferrovia de Integração Centro-Oeste · EF-354 · KM 0–104+500 · Pacotes 01, 02 e 03</t>
  </si>
  <si>
    <t>DATA_REFERENCIA</t>
  </si>
  <si>
    <t>CADENCIA</t>
  </si>
  <si>
    <t>Atualização semanal</t>
  </si>
  <si>
    <t>PREMISSA</t>
  </si>
  <si>
    <t>1 equipe com 12 colaboradores (1 encarregado + 4 oficiais + 8 serventes) executa em média 2 pendências/dia</t>
  </si>
  <si>
    <t>MARCO_FINAL</t>
  </si>
  <si>
    <t>PENDENTE FINALIZAÇÃO</t>
  </si>
  <si>
    <t>PENDENTE EXECUÇÃO</t>
  </si>
  <si>
    <t>DR</t>
  </si>
  <si>
    <t>CIVIL MASTER</t>
  </si>
  <si>
    <t>GSA</t>
  </si>
  <si>
    <t>SOMAFEL</t>
  </si>
  <si>
    <t>ESCOPO</t>
  </si>
  <si>
    <t>CERTIFICAÇÃO</t>
  </si>
  <si>
    <t>NÃO CERTIFICAÇÃO</t>
  </si>
  <si>
    <t>FISCALIZAÇÃO</t>
  </si>
  <si>
    <t>PROTOCOLO</t>
  </si>
  <si>
    <t>IMPLANTAÇÃO</t>
  </si>
  <si>
    <t>FUNDIÁRIO</t>
  </si>
  <si>
    <t xml:space="preserve">19/08/2026 </t>
  </si>
  <si>
    <t>FINALIZADO (SEM IMPACTO)</t>
  </si>
  <si>
    <t>FINALIZADO (CERTIFICAÇÃO)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</si>
</sst>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1"/>
    </font>
    <font>
      <b/>
      <sz val="16"/>
      <color rgb="FF142A4C"/>
      <name val="Arial"/>
      <family val="2"/>
    </font>
    <font>
      <sz val="10"/>
      <color rgb="FF333333"/>
      <name val="Arial"/>
      <family val="2"/>
    </font>
    <font>
      <b/>
      <sz val="11"/>
      <color rgb="FF142A4C"/>
      <name val="Arial"/>
      <family val="2"/>
    </font>
    <font>
      <b/>
      <sz val="11"/>
      <color rgb="FFF89B32"/>
      <name val="Arial"/>
      <family val="2"/>
    </font>
    <font>
      <b/>
      <sz val="11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b/>
      <sz val="10"/>
      <color rgb="FF0000FF"/>
      <name val="Arial"/>
      <family val="2"/>
    </font>
    <font>
      <b/>
      <sz val="10"/>
      <color rgb="FF000000"/>
      <name val="Arial"/>
      <family val="2"/>
    </font>
    <font>
      <b/>
      <sz val="10"/>
      <color rgb="FFFFFFFF"/>
      <name val="Arial"/>
      <family val="2"/>
    </font>
    <font>
      <sz val="8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42A4C"/>
        <bgColor rgb="FF333333"/>
      </patternFill>
    </fill>
    <fill>
      <patternFill patternType="solid">
        <fgColor rgb="FFD14545"/>
        <bgColor rgb="FF993366"/>
      </patternFill>
    </fill>
    <fill>
      <patternFill patternType="solid">
        <fgColor rgb="FFF4C430"/>
        <bgColor rgb="FFF89B32"/>
      </patternFill>
    </fill>
    <fill>
      <patternFill patternType="solid">
        <fgColor rgb="FF3578BC"/>
        <bgColor rgb="FF666699"/>
      </patternFill>
    </fill>
    <fill>
      <patternFill patternType="solid">
        <fgColor rgb="FFF4F6F9"/>
        <bgColor rgb="FFFFFFFF"/>
      </patternFill>
    </fill>
  </fills>
  <borders count="3">
    <border>
      <left/>
      <right/>
      <top/>
      <bottom/>
      <diagonal/>
    </border>
    <border>
      <left style="thin">
        <color rgb="FFE1E6EE"/>
      </left>
      <right style="thin">
        <color rgb="FFE1E6EE"/>
      </right>
      <top style="thin">
        <color rgb="FFE1E6EE"/>
      </top>
      <bottom style="thin">
        <color rgb="FFE1E6EE"/>
      </bottom>
      <diagonal/>
    </border>
    <border>
      <left style="thin">
        <color rgb="FFE1E6EE"/>
      </left>
      <right style="thin">
        <color rgb="FFE1E6EE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left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0" borderId="1" xfId="0" quotePrefix="1" applyFont="1" applyBorder="1" applyAlignment="1">
      <alignment horizontal="left" vertical="center" wrapText="1"/>
    </xf>
    <xf numFmtId="0" fontId="6" fillId="0" borderId="2" xfId="0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D14545"/>
      <rgbColor rgb="FFF4F6F9"/>
      <rgbColor rgb="FFE1E6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578BC"/>
      <rgbColor rgb="FF33CCCC"/>
      <rgbColor rgb="FF99CC00"/>
      <rgbColor rgb="FFF4C430"/>
      <rgbColor rgb="FFF89B32"/>
      <rgbColor rgb="FFFF6600"/>
      <rgbColor rgb="FF666699"/>
      <rgbColor rgb="FF969696"/>
      <rgbColor rgb="FF142A4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665D608-18E5-4C63-A4B4-8BA9449A104A}">
  <we:reference id="29673e3c-d826-4f00-92ee-162334a52b1a" version="1.0.0.8" store="EXCatalog" storeType="EXCatalog"/>
  <we:alternateReferences>
    <we:reference id="WA200009404" version="1.0.0.8" store="en-US" storeType="OMEX"/>
  </we:alternateReferences>
  <we:properties>
    <we:property name="claude.fileId" value="&quot;96f5ce53-0331-41f9-b809-0b337a8d28b1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20"/>
  <sheetViews>
    <sheetView zoomScale="85" zoomScaleNormal="85" workbookViewId="0">
      <selection activeCell="B7" sqref="B7"/>
    </sheetView>
  </sheetViews>
  <sheetFormatPr defaultColWidth="8.7265625" defaultRowHeight="14.5" x14ac:dyDescent="0.35"/>
  <cols>
    <col min="1" max="1" width="2" customWidth="1"/>
    <col min="2" max="2" width="115" customWidth="1"/>
  </cols>
  <sheetData>
    <row r="2" spans="2:2" ht="20" x14ac:dyDescent="0.4">
      <c r="B2" s="1" t="s">
        <v>0</v>
      </c>
    </row>
    <row r="3" spans="2:2" x14ac:dyDescent="0.35">
      <c r="B3" s="2"/>
    </row>
    <row r="4" spans="2:2" x14ac:dyDescent="0.35">
      <c r="B4" s="3" t="s">
        <v>1</v>
      </c>
    </row>
    <row r="5" spans="2:2" x14ac:dyDescent="0.35">
      <c r="B5" s="2"/>
    </row>
    <row r="6" spans="2:2" x14ac:dyDescent="0.35">
      <c r="B6" s="3" t="s">
        <v>2</v>
      </c>
    </row>
    <row r="7" spans="2:2" x14ac:dyDescent="0.35">
      <c r="B7" s="2" t="s">
        <v>3</v>
      </c>
    </row>
    <row r="8" spans="2:2" x14ac:dyDescent="0.35">
      <c r="B8" s="2" t="s">
        <v>4</v>
      </c>
    </row>
    <row r="9" spans="2:2" x14ac:dyDescent="0.35">
      <c r="B9" s="2" t="s">
        <v>5</v>
      </c>
    </row>
    <row r="10" spans="2:2" x14ac:dyDescent="0.35">
      <c r="B10" s="2" t="s">
        <v>6</v>
      </c>
    </row>
    <row r="11" spans="2:2" x14ac:dyDescent="0.35">
      <c r="B11" s="2"/>
    </row>
    <row r="12" spans="2:2" x14ac:dyDescent="0.35">
      <c r="B12" s="3" t="s">
        <v>7</v>
      </c>
    </row>
    <row r="13" spans="2:2" x14ac:dyDescent="0.35">
      <c r="B13" s="2" t="s">
        <v>8</v>
      </c>
    </row>
    <row r="14" spans="2:2" x14ac:dyDescent="0.35">
      <c r="B14" s="2" t="s">
        <v>9</v>
      </c>
    </row>
    <row r="15" spans="2:2" x14ac:dyDescent="0.35">
      <c r="B15" s="2" t="s">
        <v>10</v>
      </c>
    </row>
    <row r="16" spans="2:2" x14ac:dyDescent="0.35">
      <c r="B16" s="2" t="s">
        <v>11</v>
      </c>
    </row>
    <row r="17" spans="2:2" x14ac:dyDescent="0.35">
      <c r="B17" s="2" t="s">
        <v>12</v>
      </c>
    </row>
    <row r="18" spans="2:2" x14ac:dyDescent="0.35">
      <c r="B18" s="2"/>
    </row>
    <row r="19" spans="2:2" x14ac:dyDescent="0.35">
      <c r="B19" s="4" t="s">
        <v>13</v>
      </c>
    </row>
    <row r="20" spans="2:2" x14ac:dyDescent="0.35">
      <c r="B20" s="2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2"/>
  <sheetViews>
    <sheetView zoomScale="85" zoomScaleNormal="85" workbookViewId="0">
      <selection activeCell="C19" sqref="C19"/>
    </sheetView>
  </sheetViews>
  <sheetFormatPr defaultColWidth="8.7265625" defaultRowHeight="14.5" x14ac:dyDescent="0.35"/>
  <cols>
    <col min="1" max="1" width="9.6328125" bestFit="1" customWidth="1"/>
    <col min="2" max="2" width="13.453125" bestFit="1" customWidth="1"/>
    <col min="3" max="3" width="19.54296875" bestFit="1" customWidth="1"/>
    <col min="4" max="4" width="34.1796875" bestFit="1" customWidth="1"/>
    <col min="5" max="5" width="18.453125" bestFit="1" customWidth="1"/>
    <col min="6" max="6" width="9.7265625" bestFit="1" customWidth="1"/>
    <col min="7" max="7" width="13.453125" bestFit="1" customWidth="1"/>
    <col min="8" max="8" width="14" bestFit="1" customWidth="1"/>
    <col min="9" max="9" width="14.453125" bestFit="1" customWidth="1"/>
    <col min="10" max="10" width="10.81640625" bestFit="1" customWidth="1"/>
    <col min="11" max="11" width="15.7265625" bestFit="1" customWidth="1"/>
    <col min="12" max="12" width="5.1796875" bestFit="1" customWidth="1"/>
    <col min="13" max="13" width="17.90625" bestFit="1" customWidth="1"/>
    <col min="14" max="14" width="19.1796875" bestFit="1" customWidth="1"/>
    <col min="15" max="15" width="16" bestFit="1" customWidth="1"/>
    <col min="16" max="16" width="88.81640625" customWidth="1"/>
  </cols>
  <sheetData>
    <row r="1" spans="1:16" ht="15" customHeight="1" x14ac:dyDescent="0.35">
      <c r="A1" s="5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5" t="s">
        <v>21</v>
      </c>
      <c r="H1" s="5" t="s">
        <v>22</v>
      </c>
      <c r="I1" s="5" t="s">
        <v>23</v>
      </c>
      <c r="J1" s="5" t="s">
        <v>24</v>
      </c>
      <c r="K1" s="5" t="s">
        <v>25</v>
      </c>
      <c r="L1" s="5" t="s">
        <v>26</v>
      </c>
      <c r="M1" s="5" t="s">
        <v>27</v>
      </c>
      <c r="N1" s="5" t="s">
        <v>28</v>
      </c>
      <c r="O1" s="5" t="s">
        <v>29</v>
      </c>
      <c r="P1" s="5" t="s">
        <v>30</v>
      </c>
    </row>
    <row r="2" spans="1:16" ht="15" customHeight="1" x14ac:dyDescent="0.35">
      <c r="A2" s="6" t="s">
        <v>31</v>
      </c>
      <c r="B2" s="7" t="s">
        <v>32</v>
      </c>
      <c r="C2" s="7" t="s">
        <v>33</v>
      </c>
      <c r="D2" s="7" t="s">
        <v>34</v>
      </c>
      <c r="E2" s="8">
        <v>1</v>
      </c>
      <c r="F2" s="8">
        <v>4</v>
      </c>
      <c r="G2" s="8">
        <v>8</v>
      </c>
      <c r="H2" s="9">
        <v>12</v>
      </c>
      <c r="I2" s="9">
        <f>12*3</f>
        <v>36</v>
      </c>
      <c r="J2" s="6">
        <f>IF(I2=0,0,ROUND((1-H2/I2)*100,0))</f>
        <v>67</v>
      </c>
      <c r="K2" s="7" t="s">
        <v>35</v>
      </c>
      <c r="L2" s="8">
        <v>15</v>
      </c>
      <c r="M2" s="8">
        <v>0</v>
      </c>
      <c r="N2" s="7" t="s">
        <v>36</v>
      </c>
      <c r="O2" s="7" t="s">
        <v>37</v>
      </c>
      <c r="P2" s="7"/>
    </row>
    <row r="3" spans="1:16" ht="15" customHeight="1" x14ac:dyDescent="0.35">
      <c r="A3" s="6" t="s">
        <v>31</v>
      </c>
      <c r="B3" s="7" t="s">
        <v>116</v>
      </c>
      <c r="C3" s="7"/>
      <c r="D3" s="7"/>
      <c r="E3" s="8"/>
      <c r="F3" s="8"/>
      <c r="G3" s="8"/>
      <c r="H3" s="9"/>
      <c r="I3" s="9"/>
      <c r="J3" s="6"/>
      <c r="K3" s="7"/>
      <c r="L3" s="8"/>
      <c r="M3" s="8"/>
      <c r="N3" s="7"/>
      <c r="O3" s="7"/>
      <c r="P3" s="7"/>
    </row>
    <row r="4" spans="1:16" ht="15" customHeight="1" x14ac:dyDescent="0.35">
      <c r="A4" s="6" t="s">
        <v>31</v>
      </c>
      <c r="B4" s="7" t="s">
        <v>117</v>
      </c>
      <c r="C4" s="7"/>
      <c r="D4" s="7"/>
      <c r="E4" s="8"/>
      <c r="F4" s="8"/>
      <c r="G4" s="8"/>
      <c r="H4" s="9"/>
      <c r="I4" s="9"/>
      <c r="J4" s="6"/>
      <c r="K4" s="7"/>
      <c r="L4" s="8"/>
      <c r="M4" s="8"/>
      <c r="N4" s="7"/>
      <c r="O4" s="7"/>
      <c r="P4" s="7"/>
    </row>
    <row r="5" spans="1:16" ht="15" customHeight="1" x14ac:dyDescent="0.35">
      <c r="A5" s="6" t="s">
        <v>31</v>
      </c>
      <c r="B5" s="7" t="s">
        <v>118</v>
      </c>
      <c r="C5" s="7"/>
      <c r="D5" s="7"/>
      <c r="E5" s="8"/>
      <c r="F5" s="8"/>
      <c r="G5" s="8"/>
      <c r="H5" s="9"/>
      <c r="I5" s="9"/>
      <c r="J5" s="6"/>
      <c r="K5" s="7"/>
      <c r="L5" s="8"/>
      <c r="M5" s="8"/>
      <c r="N5" s="7"/>
      <c r="O5" s="7"/>
      <c r="P5" s="7"/>
    </row>
    <row r="6" spans="1:16" ht="15" customHeight="1" x14ac:dyDescent="0.35">
      <c r="A6" s="6" t="s">
        <v>38</v>
      </c>
      <c r="B6" s="7" t="s">
        <v>39</v>
      </c>
      <c r="C6" s="7" t="s">
        <v>40</v>
      </c>
      <c r="D6" s="7" t="s">
        <v>41</v>
      </c>
      <c r="E6" s="8">
        <v>1</v>
      </c>
      <c r="F6" s="8">
        <v>0</v>
      </c>
      <c r="G6" s="8">
        <v>29</v>
      </c>
      <c r="H6" s="9">
        <v>11</v>
      </c>
      <c r="I6" s="9">
        <v>60</v>
      </c>
      <c r="J6" s="6">
        <f>IF(I6=0,0,ROUND((1-H6/I6)*100,0))</f>
        <v>82</v>
      </c>
      <c r="K6" s="7" t="s">
        <v>35</v>
      </c>
      <c r="L6" s="8">
        <v>20</v>
      </c>
      <c r="M6" s="8">
        <v>2</v>
      </c>
      <c r="N6" s="7" t="s">
        <v>42</v>
      </c>
      <c r="O6" s="7" t="s">
        <v>43</v>
      </c>
      <c r="P6" s="7" t="s">
        <v>44</v>
      </c>
    </row>
    <row r="7" spans="1:16" ht="15" customHeight="1" x14ac:dyDescent="0.35">
      <c r="A7" s="6" t="s">
        <v>38</v>
      </c>
      <c r="B7" s="7" t="s">
        <v>116</v>
      </c>
      <c r="C7" s="7"/>
      <c r="D7" s="7"/>
      <c r="E7" s="8"/>
      <c r="F7" s="8"/>
      <c r="G7" s="8"/>
      <c r="H7" s="9"/>
      <c r="I7" s="9"/>
      <c r="J7" s="6"/>
      <c r="K7" s="7"/>
      <c r="L7" s="8"/>
      <c r="M7" s="8"/>
      <c r="N7" s="7"/>
      <c r="O7" s="7"/>
      <c r="P7" s="7"/>
    </row>
    <row r="8" spans="1:16" ht="15" customHeight="1" x14ac:dyDescent="0.35">
      <c r="A8" s="6" t="s">
        <v>38</v>
      </c>
      <c r="B8" s="7" t="s">
        <v>115</v>
      </c>
      <c r="C8" s="7"/>
      <c r="D8" s="7"/>
      <c r="E8" s="8"/>
      <c r="F8" s="8"/>
      <c r="G8" s="8"/>
      <c r="H8" s="9"/>
      <c r="I8" s="9"/>
      <c r="J8" s="6"/>
      <c r="K8" s="7"/>
      <c r="L8" s="8"/>
      <c r="M8" s="8"/>
      <c r="N8" s="7"/>
      <c r="O8" s="7"/>
      <c r="P8" s="7"/>
    </row>
    <row r="9" spans="1:16" ht="15" customHeight="1" x14ac:dyDescent="0.35">
      <c r="A9" s="6" t="s">
        <v>38</v>
      </c>
      <c r="B9" s="7" t="s">
        <v>117</v>
      </c>
      <c r="C9" s="7"/>
      <c r="D9" s="7"/>
      <c r="E9" s="8"/>
      <c r="F9" s="8"/>
      <c r="G9" s="8"/>
      <c r="H9" s="9"/>
      <c r="I9" s="9"/>
      <c r="J9" s="6"/>
      <c r="K9" s="7"/>
      <c r="L9" s="8"/>
      <c r="M9" s="8"/>
      <c r="N9" s="7"/>
      <c r="O9" s="7"/>
      <c r="P9" s="7"/>
    </row>
    <row r="10" spans="1:16" ht="15" customHeight="1" x14ac:dyDescent="0.35">
      <c r="A10" s="6" t="s">
        <v>45</v>
      </c>
      <c r="B10" s="7" t="s">
        <v>46</v>
      </c>
      <c r="C10" s="7" t="s">
        <v>47</v>
      </c>
      <c r="D10" s="7" t="s">
        <v>34</v>
      </c>
      <c r="E10" s="8">
        <v>2</v>
      </c>
      <c r="F10" s="8">
        <v>0</v>
      </c>
      <c r="G10" s="8">
        <v>36</v>
      </c>
      <c r="H10" s="9">
        <v>36</v>
      </c>
      <c r="I10" s="9">
        <v>48</v>
      </c>
      <c r="J10" s="6">
        <f>IF(I10=0,0,ROUND((1-H10/I10)*100,0))</f>
        <v>25</v>
      </c>
      <c r="K10" s="7" t="s">
        <v>48</v>
      </c>
      <c r="L10" s="8">
        <v>30</v>
      </c>
      <c r="M10" s="8">
        <v>0</v>
      </c>
      <c r="N10" s="7" t="s">
        <v>49</v>
      </c>
      <c r="O10" s="7" t="s">
        <v>50</v>
      </c>
      <c r="P10" s="7"/>
    </row>
    <row r="11" spans="1:16" ht="15" customHeight="1" x14ac:dyDescent="0.35">
      <c r="A11" s="6" t="s">
        <v>45</v>
      </c>
      <c r="B11" s="7" t="s">
        <v>115</v>
      </c>
    </row>
    <row r="12" spans="1:16" ht="15" customHeight="1" x14ac:dyDescent="0.35">
      <c r="A12" s="6" t="s">
        <v>45</v>
      </c>
      <c r="B12" s="7" t="s">
        <v>118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31"/>
  <sheetViews>
    <sheetView tabSelected="1" zoomScale="85" zoomScaleNormal="85" workbookViewId="0">
      <selection activeCell="G14" sqref="G14"/>
    </sheetView>
  </sheetViews>
  <sheetFormatPr defaultColWidth="8.7265625" defaultRowHeight="14.5" x14ac:dyDescent="0.35"/>
  <cols>
    <col min="1" max="1" width="14.26953125" bestFit="1" customWidth="1"/>
    <col min="2" max="2" width="15.81640625" bestFit="1" customWidth="1"/>
    <col min="3" max="3" width="13.26953125" bestFit="1" customWidth="1"/>
    <col min="4" max="4" width="12.7265625" bestFit="1" customWidth="1"/>
    <col min="5" max="5" width="21.1796875" bestFit="1" customWidth="1"/>
    <col min="6" max="6" width="26.1796875" bestFit="1" customWidth="1"/>
    <col min="7" max="7" width="20.7265625" bestFit="1" customWidth="1"/>
    <col min="8" max="8" width="16.6328125" bestFit="1" customWidth="1"/>
    <col min="9" max="9" width="20.81640625" bestFit="1" customWidth="1"/>
    <col min="10" max="10" width="19.08984375" bestFit="1" customWidth="1"/>
    <col min="11" max="11" width="18.7265625" bestFit="1" customWidth="1"/>
    <col min="12" max="12" width="34.7265625" bestFit="1" customWidth="1"/>
    <col min="13" max="13" width="35.36328125" bestFit="1" customWidth="1"/>
    <col min="14" max="14" width="29.26953125" bestFit="1" customWidth="1"/>
    <col min="15" max="15" width="31.1796875" bestFit="1" customWidth="1"/>
    <col min="16" max="16" width="20.26953125" bestFit="1" customWidth="1"/>
  </cols>
  <sheetData>
    <row r="1" spans="1:16" x14ac:dyDescent="0.35">
      <c r="A1" s="5" t="s">
        <v>15</v>
      </c>
      <c r="B1" s="5" t="s">
        <v>16</v>
      </c>
      <c r="C1" s="5" t="s">
        <v>51</v>
      </c>
      <c r="D1" s="5" t="s">
        <v>52</v>
      </c>
      <c r="E1" s="5" t="s">
        <v>120</v>
      </c>
      <c r="F1" s="5" t="s">
        <v>121</v>
      </c>
      <c r="G1" s="5" t="s">
        <v>122</v>
      </c>
      <c r="H1" s="5" t="s">
        <v>125</v>
      </c>
      <c r="I1" s="5" t="s">
        <v>124</v>
      </c>
      <c r="J1" s="5" t="s">
        <v>123</v>
      </c>
      <c r="K1" s="5" t="s">
        <v>53</v>
      </c>
      <c r="L1" s="5" t="s">
        <v>127</v>
      </c>
      <c r="M1" s="5" t="s">
        <v>128</v>
      </c>
      <c r="N1" s="5" t="s">
        <v>114</v>
      </c>
      <c r="O1" s="5" t="s">
        <v>113</v>
      </c>
      <c r="P1" s="5" t="s">
        <v>54</v>
      </c>
    </row>
    <row r="2" spans="1:16" x14ac:dyDescent="0.35">
      <c r="A2" s="6" t="s">
        <v>31</v>
      </c>
      <c r="B2" s="7" t="s">
        <v>46</v>
      </c>
      <c r="C2" s="7" t="s">
        <v>57</v>
      </c>
      <c r="D2" s="6">
        <v>1</v>
      </c>
      <c r="E2" s="6">
        <v>1</v>
      </c>
      <c r="F2" s="6">
        <f t="shared" ref="F2:F31" si="0">D2-E2</f>
        <v>0</v>
      </c>
      <c r="G2" s="6">
        <v>0</v>
      </c>
      <c r="H2" s="18">
        <v>0</v>
      </c>
      <c r="I2" s="6">
        <v>0</v>
      </c>
      <c r="J2" s="6">
        <v>1</v>
      </c>
      <c r="K2" s="6">
        <v>0</v>
      </c>
      <c r="L2" s="8">
        <v>0</v>
      </c>
      <c r="M2" s="8">
        <v>0</v>
      </c>
      <c r="N2" s="8">
        <f>D2-K2</f>
        <v>1</v>
      </c>
      <c r="O2" s="10">
        <f>D2-L2-M2</f>
        <v>1</v>
      </c>
      <c r="P2" s="7"/>
    </row>
    <row r="3" spans="1:16" x14ac:dyDescent="0.35">
      <c r="A3" s="6" t="s">
        <v>31</v>
      </c>
      <c r="B3" s="7" t="s">
        <v>116</v>
      </c>
      <c r="C3" s="7" t="s">
        <v>55</v>
      </c>
      <c r="D3" s="6">
        <v>1</v>
      </c>
      <c r="E3" s="6">
        <v>1</v>
      </c>
      <c r="F3" s="6">
        <f t="shared" si="0"/>
        <v>0</v>
      </c>
      <c r="G3" s="6">
        <v>0</v>
      </c>
      <c r="H3" s="18">
        <v>0</v>
      </c>
      <c r="I3" s="6">
        <v>0</v>
      </c>
      <c r="J3" s="6">
        <v>1</v>
      </c>
      <c r="K3" s="6">
        <v>0</v>
      </c>
      <c r="L3" s="8">
        <v>0</v>
      </c>
      <c r="M3" s="8">
        <v>0</v>
      </c>
      <c r="N3" s="8">
        <f t="shared" ref="N3:N31" si="1">D3-K3</f>
        <v>1</v>
      </c>
      <c r="O3" s="10">
        <f t="shared" ref="O3:O31" si="2">D3-L3-M3</f>
        <v>1</v>
      </c>
      <c r="P3" s="7"/>
    </row>
    <row r="4" spans="1:16" x14ac:dyDescent="0.35">
      <c r="A4" s="6" t="s">
        <v>31</v>
      </c>
      <c r="B4" s="7" t="s">
        <v>116</v>
      </c>
      <c r="C4" s="7" t="s">
        <v>56</v>
      </c>
      <c r="D4" s="6">
        <v>6</v>
      </c>
      <c r="E4" s="6">
        <v>1</v>
      </c>
      <c r="F4" s="6">
        <f t="shared" si="0"/>
        <v>5</v>
      </c>
      <c r="G4" s="6">
        <v>0</v>
      </c>
      <c r="H4" s="18">
        <v>0</v>
      </c>
      <c r="I4" s="6">
        <v>0</v>
      </c>
      <c r="J4" s="6">
        <v>6</v>
      </c>
      <c r="K4" s="6">
        <v>0</v>
      </c>
      <c r="L4" s="8">
        <v>0</v>
      </c>
      <c r="M4" s="8">
        <v>0</v>
      </c>
      <c r="N4" s="8">
        <f t="shared" si="1"/>
        <v>6</v>
      </c>
      <c r="O4" s="10">
        <f t="shared" si="2"/>
        <v>6</v>
      </c>
      <c r="P4" s="7"/>
    </row>
    <row r="5" spans="1:16" x14ac:dyDescent="0.35">
      <c r="A5" s="6" t="s">
        <v>31</v>
      </c>
      <c r="B5" s="7" t="s">
        <v>32</v>
      </c>
      <c r="C5" s="7" t="s">
        <v>119</v>
      </c>
      <c r="D5" s="6">
        <v>285</v>
      </c>
      <c r="E5" s="6">
        <v>284</v>
      </c>
      <c r="F5" s="6">
        <f t="shared" si="0"/>
        <v>1</v>
      </c>
      <c r="G5" s="6">
        <v>0</v>
      </c>
      <c r="H5" s="18">
        <v>0</v>
      </c>
      <c r="I5" s="6">
        <v>2</v>
      </c>
      <c r="J5" s="6">
        <v>283</v>
      </c>
      <c r="K5" s="6">
        <v>181</v>
      </c>
      <c r="L5" s="8">
        <v>1</v>
      </c>
      <c r="M5" s="8">
        <v>180</v>
      </c>
      <c r="N5" s="8">
        <f t="shared" si="1"/>
        <v>104</v>
      </c>
      <c r="O5" s="10">
        <f t="shared" si="2"/>
        <v>104</v>
      </c>
      <c r="P5" s="7"/>
    </row>
    <row r="6" spans="1:16" x14ac:dyDescent="0.35">
      <c r="A6" s="6" t="s">
        <v>31</v>
      </c>
      <c r="B6" s="7" t="s">
        <v>116</v>
      </c>
      <c r="C6" s="7" t="s">
        <v>57</v>
      </c>
      <c r="D6" s="6">
        <v>58</v>
      </c>
      <c r="E6" s="6">
        <v>52</v>
      </c>
      <c r="F6" s="6">
        <f t="shared" si="0"/>
        <v>6</v>
      </c>
      <c r="G6" s="6">
        <v>15</v>
      </c>
      <c r="H6" s="18">
        <v>0</v>
      </c>
      <c r="I6" s="6">
        <v>6</v>
      </c>
      <c r="J6" s="6">
        <v>37</v>
      </c>
      <c r="K6" s="6">
        <v>1</v>
      </c>
      <c r="L6" s="8">
        <v>0</v>
      </c>
      <c r="M6" s="8">
        <v>1</v>
      </c>
      <c r="N6" s="8">
        <f t="shared" si="1"/>
        <v>57</v>
      </c>
      <c r="O6" s="10">
        <f t="shared" si="2"/>
        <v>57</v>
      </c>
      <c r="P6" s="7"/>
    </row>
    <row r="7" spans="1:16" x14ac:dyDescent="0.35">
      <c r="A7" s="6" t="s">
        <v>31</v>
      </c>
      <c r="B7" s="7" t="s">
        <v>32</v>
      </c>
      <c r="C7" s="7" t="s">
        <v>55</v>
      </c>
      <c r="D7" s="6">
        <v>84</v>
      </c>
      <c r="E7" s="6">
        <v>84</v>
      </c>
      <c r="F7" s="6">
        <f t="shared" si="0"/>
        <v>0</v>
      </c>
      <c r="G7" s="6">
        <v>0</v>
      </c>
      <c r="H7" s="18">
        <v>0</v>
      </c>
      <c r="I7" s="6">
        <v>0</v>
      </c>
      <c r="J7" s="6">
        <v>84</v>
      </c>
      <c r="K7" s="6">
        <v>46</v>
      </c>
      <c r="L7" s="19">
        <v>0</v>
      </c>
      <c r="M7" s="19">
        <v>46</v>
      </c>
      <c r="N7" s="8">
        <f t="shared" si="1"/>
        <v>38</v>
      </c>
      <c r="O7" s="10">
        <f t="shared" si="2"/>
        <v>38</v>
      </c>
      <c r="P7" s="7"/>
    </row>
    <row r="8" spans="1:16" x14ac:dyDescent="0.35">
      <c r="A8" s="6" t="s">
        <v>31</v>
      </c>
      <c r="B8" s="7" t="s">
        <v>32</v>
      </c>
      <c r="C8" s="7" t="s">
        <v>56</v>
      </c>
      <c r="D8" s="6">
        <v>77</v>
      </c>
      <c r="E8" s="6">
        <v>62</v>
      </c>
      <c r="F8" s="6">
        <f t="shared" si="0"/>
        <v>15</v>
      </c>
      <c r="G8" s="6">
        <v>0</v>
      </c>
      <c r="H8" s="18">
        <v>0</v>
      </c>
      <c r="I8" s="6">
        <v>0</v>
      </c>
      <c r="J8" s="6">
        <v>77</v>
      </c>
      <c r="K8" s="6">
        <v>27</v>
      </c>
      <c r="L8" s="8">
        <v>4</v>
      </c>
      <c r="M8" s="8">
        <v>23</v>
      </c>
      <c r="N8" s="8">
        <f t="shared" si="1"/>
        <v>50</v>
      </c>
      <c r="O8" s="10">
        <f t="shared" si="2"/>
        <v>50</v>
      </c>
      <c r="P8" s="7"/>
    </row>
    <row r="9" spans="1:16" x14ac:dyDescent="0.35">
      <c r="A9" s="6" t="s">
        <v>31</v>
      </c>
      <c r="B9" s="7" t="s">
        <v>116</v>
      </c>
      <c r="C9" s="7" t="s">
        <v>119</v>
      </c>
      <c r="D9" s="6">
        <v>13</v>
      </c>
      <c r="E9" s="6">
        <v>13</v>
      </c>
      <c r="F9" s="6">
        <f t="shared" si="0"/>
        <v>0</v>
      </c>
      <c r="G9" s="6">
        <v>0</v>
      </c>
      <c r="H9" s="18">
        <v>0</v>
      </c>
      <c r="I9" s="6">
        <v>0</v>
      </c>
      <c r="J9" s="6">
        <v>13</v>
      </c>
      <c r="K9" s="6">
        <v>0</v>
      </c>
      <c r="L9" s="8">
        <v>0</v>
      </c>
      <c r="M9" s="8"/>
      <c r="N9" s="8">
        <f t="shared" si="1"/>
        <v>13</v>
      </c>
      <c r="O9" s="10">
        <f t="shared" si="2"/>
        <v>13</v>
      </c>
      <c r="P9" s="7"/>
    </row>
    <row r="10" spans="1:16" x14ac:dyDescent="0.35">
      <c r="A10" s="6" t="s">
        <v>31</v>
      </c>
      <c r="B10" s="7" t="s">
        <v>32</v>
      </c>
      <c r="C10" s="7" t="s">
        <v>57</v>
      </c>
      <c r="D10" s="6">
        <v>646</v>
      </c>
      <c r="E10" s="6">
        <v>358</v>
      </c>
      <c r="F10" s="6">
        <f t="shared" si="0"/>
        <v>288</v>
      </c>
      <c r="G10" s="6">
        <v>40</v>
      </c>
      <c r="H10" s="18">
        <v>0</v>
      </c>
      <c r="I10" s="6">
        <v>6</v>
      </c>
      <c r="J10" s="6">
        <v>599</v>
      </c>
      <c r="K10" s="6">
        <v>362</v>
      </c>
      <c r="L10" s="8">
        <v>136</v>
      </c>
      <c r="M10" s="8">
        <v>226</v>
      </c>
      <c r="N10" s="8">
        <f t="shared" si="1"/>
        <v>284</v>
      </c>
      <c r="O10" s="10">
        <f t="shared" si="2"/>
        <v>284</v>
      </c>
      <c r="P10" s="7"/>
    </row>
    <row r="11" spans="1:16" x14ac:dyDescent="0.35">
      <c r="A11" s="6" t="s">
        <v>31</v>
      </c>
      <c r="B11" s="7" t="s">
        <v>117</v>
      </c>
      <c r="C11" s="7" t="s">
        <v>55</v>
      </c>
      <c r="D11" s="6">
        <v>4</v>
      </c>
      <c r="E11" s="6">
        <v>4</v>
      </c>
      <c r="F11" s="6">
        <f t="shared" si="0"/>
        <v>0</v>
      </c>
      <c r="G11" s="6">
        <v>0</v>
      </c>
      <c r="H11" s="18">
        <v>0</v>
      </c>
      <c r="I11" s="6">
        <v>0</v>
      </c>
      <c r="J11" s="6">
        <v>4</v>
      </c>
      <c r="K11" s="6">
        <v>0</v>
      </c>
      <c r="L11" s="8">
        <v>0</v>
      </c>
      <c r="M11" s="8">
        <v>0</v>
      </c>
      <c r="N11" s="8">
        <f t="shared" si="1"/>
        <v>4</v>
      </c>
      <c r="O11" s="10">
        <f t="shared" si="2"/>
        <v>4</v>
      </c>
      <c r="P11" s="7"/>
    </row>
    <row r="12" spans="1:16" x14ac:dyDescent="0.35">
      <c r="A12" s="6" t="s">
        <v>31</v>
      </c>
      <c r="B12" s="7" t="s">
        <v>117</v>
      </c>
      <c r="C12" s="7" t="s">
        <v>56</v>
      </c>
      <c r="D12" s="6">
        <v>8</v>
      </c>
      <c r="E12" s="6">
        <v>8</v>
      </c>
      <c r="F12" s="6">
        <f t="shared" si="0"/>
        <v>0</v>
      </c>
      <c r="G12" s="6">
        <v>0</v>
      </c>
      <c r="H12" s="18">
        <v>0</v>
      </c>
      <c r="I12" s="6">
        <v>1</v>
      </c>
      <c r="J12" s="6">
        <v>7</v>
      </c>
      <c r="K12" s="6">
        <v>0</v>
      </c>
      <c r="L12" s="8">
        <v>0</v>
      </c>
      <c r="M12" s="8">
        <v>0</v>
      </c>
      <c r="N12" s="8">
        <f t="shared" si="1"/>
        <v>8</v>
      </c>
      <c r="O12" s="10">
        <f t="shared" si="2"/>
        <v>8</v>
      </c>
      <c r="P12" s="7"/>
    </row>
    <row r="13" spans="1:16" x14ac:dyDescent="0.35">
      <c r="A13" s="6" t="s">
        <v>31</v>
      </c>
      <c r="B13" s="7" t="s">
        <v>117</v>
      </c>
      <c r="C13" s="7" t="s">
        <v>119</v>
      </c>
      <c r="D13" s="6">
        <v>19</v>
      </c>
      <c r="E13" s="6">
        <v>19</v>
      </c>
      <c r="F13" s="6">
        <f t="shared" si="0"/>
        <v>0</v>
      </c>
      <c r="G13" s="6">
        <v>5</v>
      </c>
      <c r="H13" s="18">
        <v>0</v>
      </c>
      <c r="I13" s="6">
        <v>4</v>
      </c>
      <c r="J13" s="6">
        <v>10</v>
      </c>
      <c r="K13" s="6">
        <v>5</v>
      </c>
      <c r="L13" s="8">
        <v>0</v>
      </c>
      <c r="M13" s="8">
        <v>5</v>
      </c>
      <c r="N13" s="8">
        <f t="shared" si="1"/>
        <v>14</v>
      </c>
      <c r="O13" s="10">
        <f t="shared" si="2"/>
        <v>14</v>
      </c>
      <c r="P13" s="7"/>
    </row>
    <row r="14" spans="1:16" x14ac:dyDescent="0.35">
      <c r="A14" s="6" t="s">
        <v>31</v>
      </c>
      <c r="B14" s="7" t="s">
        <v>117</v>
      </c>
      <c r="C14" s="7" t="s">
        <v>57</v>
      </c>
      <c r="D14" s="6">
        <v>99</v>
      </c>
      <c r="E14" s="6">
        <v>30</v>
      </c>
      <c r="F14" s="6">
        <f t="shared" si="0"/>
        <v>69</v>
      </c>
      <c r="G14" s="6">
        <v>26</v>
      </c>
      <c r="H14" s="18">
        <v>0</v>
      </c>
      <c r="I14" s="6">
        <v>4</v>
      </c>
      <c r="J14" s="6">
        <v>69</v>
      </c>
      <c r="K14" s="6">
        <v>16</v>
      </c>
      <c r="L14" s="8">
        <v>11</v>
      </c>
      <c r="M14" s="8">
        <v>5</v>
      </c>
      <c r="N14" s="8">
        <f t="shared" si="1"/>
        <v>83</v>
      </c>
      <c r="O14" s="10">
        <f t="shared" si="2"/>
        <v>83</v>
      </c>
      <c r="P14" s="7"/>
    </row>
    <row r="15" spans="1:16" x14ac:dyDescent="0.35">
      <c r="A15" s="6" t="s">
        <v>31</v>
      </c>
      <c r="B15" s="7" t="s">
        <v>118</v>
      </c>
      <c r="C15" s="7" t="s">
        <v>56</v>
      </c>
      <c r="D15" s="6">
        <v>1</v>
      </c>
      <c r="E15" s="6">
        <v>1</v>
      </c>
      <c r="F15" s="6">
        <f t="shared" si="0"/>
        <v>0</v>
      </c>
      <c r="G15" s="6">
        <v>0</v>
      </c>
      <c r="H15" s="18">
        <v>0</v>
      </c>
      <c r="I15" s="6">
        <v>0</v>
      </c>
      <c r="J15" s="6">
        <v>1</v>
      </c>
      <c r="K15" s="6">
        <v>0</v>
      </c>
      <c r="L15" s="8">
        <v>0</v>
      </c>
      <c r="M15" s="8">
        <v>0</v>
      </c>
      <c r="N15" s="8">
        <f t="shared" si="1"/>
        <v>1</v>
      </c>
      <c r="O15" s="10">
        <f t="shared" si="2"/>
        <v>1</v>
      </c>
      <c r="P15" s="7"/>
    </row>
    <row r="16" spans="1:16" x14ac:dyDescent="0.35">
      <c r="A16" s="6" t="s">
        <v>31</v>
      </c>
      <c r="B16" s="7" t="s">
        <v>118</v>
      </c>
      <c r="C16" s="7" t="s">
        <v>57</v>
      </c>
      <c r="D16" s="6">
        <v>3</v>
      </c>
      <c r="E16" s="6">
        <v>0</v>
      </c>
      <c r="F16" s="6">
        <f t="shared" si="0"/>
        <v>3</v>
      </c>
      <c r="G16" s="6">
        <v>0</v>
      </c>
      <c r="H16" s="18">
        <v>0</v>
      </c>
      <c r="I16" s="6">
        <v>1</v>
      </c>
      <c r="J16" s="6">
        <v>2</v>
      </c>
      <c r="K16" s="6">
        <v>0</v>
      </c>
      <c r="L16" s="8">
        <v>0</v>
      </c>
      <c r="M16" s="8">
        <v>0</v>
      </c>
      <c r="N16" s="8">
        <f t="shared" si="1"/>
        <v>3</v>
      </c>
      <c r="O16" s="10">
        <f t="shared" si="2"/>
        <v>3</v>
      </c>
      <c r="P16" s="7"/>
    </row>
    <row r="17" spans="1:16" x14ac:dyDescent="0.35">
      <c r="A17" s="6" t="s">
        <v>38</v>
      </c>
      <c r="B17" s="7" t="s">
        <v>39</v>
      </c>
      <c r="C17" s="7" t="s">
        <v>55</v>
      </c>
      <c r="D17" s="6">
        <v>53</v>
      </c>
      <c r="E17" s="6">
        <v>53</v>
      </c>
      <c r="F17" s="6">
        <f t="shared" si="0"/>
        <v>0</v>
      </c>
      <c r="G17" s="6">
        <v>0</v>
      </c>
      <c r="H17" s="18">
        <v>0</v>
      </c>
      <c r="I17" s="6">
        <v>0</v>
      </c>
      <c r="J17" s="6">
        <v>53</v>
      </c>
      <c r="K17" s="6">
        <v>25</v>
      </c>
      <c r="L17" s="8">
        <v>0</v>
      </c>
      <c r="M17" s="8">
        <v>25</v>
      </c>
      <c r="N17" s="8">
        <f t="shared" si="1"/>
        <v>28</v>
      </c>
      <c r="O17" s="10">
        <f t="shared" si="2"/>
        <v>28</v>
      </c>
      <c r="P17" s="7"/>
    </row>
    <row r="18" spans="1:16" x14ac:dyDescent="0.35">
      <c r="A18" s="6" t="s">
        <v>38</v>
      </c>
      <c r="B18" s="7" t="s">
        <v>39</v>
      </c>
      <c r="C18" s="7" t="s">
        <v>56</v>
      </c>
      <c r="D18" s="6">
        <v>40</v>
      </c>
      <c r="E18" s="6">
        <v>30</v>
      </c>
      <c r="F18" s="6">
        <f t="shared" si="0"/>
        <v>10</v>
      </c>
      <c r="G18" s="6">
        <v>0</v>
      </c>
      <c r="H18" s="18">
        <v>0</v>
      </c>
      <c r="I18" s="6">
        <v>0</v>
      </c>
      <c r="J18" s="6">
        <v>40</v>
      </c>
      <c r="K18" s="6">
        <v>4</v>
      </c>
      <c r="L18" s="8">
        <v>0</v>
      </c>
      <c r="M18" s="8">
        <v>4</v>
      </c>
      <c r="N18" s="8">
        <f t="shared" si="1"/>
        <v>36</v>
      </c>
      <c r="O18" s="10">
        <f t="shared" si="2"/>
        <v>36</v>
      </c>
      <c r="P18" s="7"/>
    </row>
    <row r="19" spans="1:16" x14ac:dyDescent="0.35">
      <c r="A19" s="6" t="s">
        <v>38</v>
      </c>
      <c r="B19" s="7" t="s">
        <v>39</v>
      </c>
      <c r="C19" s="7" t="s">
        <v>57</v>
      </c>
      <c r="D19" s="6">
        <v>630</v>
      </c>
      <c r="E19" s="6">
        <v>251</v>
      </c>
      <c r="F19" s="6">
        <f t="shared" si="0"/>
        <v>379</v>
      </c>
      <c r="G19" s="6">
        <v>105</v>
      </c>
      <c r="H19" s="18">
        <v>0</v>
      </c>
      <c r="I19" s="6">
        <v>0</v>
      </c>
      <c r="J19" s="6">
        <v>525</v>
      </c>
      <c r="K19" s="6">
        <v>257</v>
      </c>
      <c r="L19" s="8">
        <v>171</v>
      </c>
      <c r="M19" s="8">
        <v>86</v>
      </c>
      <c r="N19" s="8">
        <f t="shared" si="1"/>
        <v>373</v>
      </c>
      <c r="O19" s="10">
        <f t="shared" si="2"/>
        <v>373</v>
      </c>
      <c r="P19" s="7"/>
    </row>
    <row r="20" spans="1:16" x14ac:dyDescent="0.35">
      <c r="A20" s="6" t="s">
        <v>38</v>
      </c>
      <c r="B20" s="7" t="s">
        <v>39</v>
      </c>
      <c r="C20" s="7" t="s">
        <v>119</v>
      </c>
      <c r="D20" s="6">
        <v>131</v>
      </c>
      <c r="E20" s="6">
        <v>131</v>
      </c>
      <c r="F20" s="6">
        <f t="shared" si="0"/>
        <v>0</v>
      </c>
      <c r="G20" s="6">
        <v>8</v>
      </c>
      <c r="H20" s="18">
        <v>0</v>
      </c>
      <c r="I20" s="6">
        <v>0</v>
      </c>
      <c r="J20" s="6">
        <v>123</v>
      </c>
      <c r="K20" s="6">
        <v>62</v>
      </c>
      <c r="L20" s="8">
        <v>0</v>
      </c>
      <c r="M20" s="8">
        <v>62</v>
      </c>
      <c r="N20" s="8">
        <f t="shared" si="1"/>
        <v>69</v>
      </c>
      <c r="O20" s="10">
        <f t="shared" si="2"/>
        <v>69</v>
      </c>
      <c r="P20" s="7"/>
    </row>
    <row r="21" spans="1:16" x14ac:dyDescent="0.35">
      <c r="A21" s="6" t="s">
        <v>38</v>
      </c>
      <c r="B21" s="7" t="s">
        <v>116</v>
      </c>
      <c r="C21" s="7" t="s">
        <v>55</v>
      </c>
      <c r="D21" s="6">
        <v>1</v>
      </c>
      <c r="E21" s="6">
        <v>1</v>
      </c>
      <c r="F21" s="6">
        <f t="shared" si="0"/>
        <v>0</v>
      </c>
      <c r="G21" s="6">
        <v>0</v>
      </c>
      <c r="H21" s="18">
        <v>0</v>
      </c>
      <c r="I21" s="6">
        <v>0</v>
      </c>
      <c r="J21" s="6">
        <v>1</v>
      </c>
      <c r="K21" s="6">
        <v>0</v>
      </c>
      <c r="L21" s="8">
        <v>0</v>
      </c>
      <c r="M21" s="8">
        <v>0</v>
      </c>
      <c r="N21" s="8">
        <f t="shared" si="1"/>
        <v>1</v>
      </c>
      <c r="O21" s="10">
        <f t="shared" si="2"/>
        <v>1</v>
      </c>
      <c r="P21" s="7"/>
    </row>
    <row r="22" spans="1:16" x14ac:dyDescent="0.35">
      <c r="A22" s="6" t="s">
        <v>38</v>
      </c>
      <c r="B22" s="7" t="s">
        <v>116</v>
      </c>
      <c r="C22" s="7" t="s">
        <v>57</v>
      </c>
      <c r="D22" s="6">
        <v>5</v>
      </c>
      <c r="E22" s="6">
        <v>4</v>
      </c>
      <c r="F22" s="6">
        <f t="shared" si="0"/>
        <v>1</v>
      </c>
      <c r="G22" s="6">
        <v>0</v>
      </c>
      <c r="H22" s="18">
        <v>0</v>
      </c>
      <c r="I22" s="6">
        <v>0</v>
      </c>
      <c r="J22" s="6">
        <v>5</v>
      </c>
      <c r="K22" s="6">
        <v>0</v>
      </c>
      <c r="L22" s="8">
        <v>0</v>
      </c>
      <c r="M22" s="8">
        <v>0</v>
      </c>
      <c r="N22" s="8">
        <f t="shared" si="1"/>
        <v>5</v>
      </c>
      <c r="O22" s="10">
        <f t="shared" si="2"/>
        <v>5</v>
      </c>
      <c r="P22" s="7"/>
    </row>
    <row r="23" spans="1:16" x14ac:dyDescent="0.35">
      <c r="A23" s="6" t="s">
        <v>38</v>
      </c>
      <c r="B23" s="7" t="s">
        <v>116</v>
      </c>
      <c r="C23" s="7" t="s">
        <v>119</v>
      </c>
      <c r="D23" s="6">
        <v>2</v>
      </c>
      <c r="E23" s="6">
        <v>2</v>
      </c>
      <c r="F23" s="6">
        <f t="shared" si="0"/>
        <v>0</v>
      </c>
      <c r="G23" s="6">
        <v>0</v>
      </c>
      <c r="H23" s="18">
        <v>0</v>
      </c>
      <c r="I23" s="6">
        <v>0</v>
      </c>
      <c r="J23" s="6">
        <v>2</v>
      </c>
      <c r="K23" s="6">
        <v>0</v>
      </c>
      <c r="L23" s="8">
        <v>0</v>
      </c>
      <c r="M23" s="8">
        <v>0</v>
      </c>
      <c r="N23" s="8">
        <f t="shared" si="1"/>
        <v>2</v>
      </c>
      <c r="O23" s="10">
        <f t="shared" si="2"/>
        <v>2</v>
      </c>
      <c r="P23" s="7"/>
    </row>
    <row r="24" spans="1:16" x14ac:dyDescent="0.35">
      <c r="A24" s="6" t="s">
        <v>38</v>
      </c>
      <c r="B24" s="7" t="s">
        <v>115</v>
      </c>
      <c r="C24" s="7" t="s">
        <v>57</v>
      </c>
      <c r="D24" s="6">
        <v>4</v>
      </c>
      <c r="E24" s="6">
        <v>1</v>
      </c>
      <c r="F24" s="6">
        <f t="shared" si="0"/>
        <v>3</v>
      </c>
      <c r="G24" s="6">
        <v>2</v>
      </c>
      <c r="H24" s="18">
        <v>0</v>
      </c>
      <c r="I24" s="6">
        <v>0</v>
      </c>
      <c r="J24" s="6">
        <v>2</v>
      </c>
      <c r="K24" s="6">
        <v>0</v>
      </c>
      <c r="L24" s="8">
        <v>0</v>
      </c>
      <c r="M24" s="8">
        <v>0</v>
      </c>
      <c r="N24" s="8">
        <f t="shared" si="1"/>
        <v>4</v>
      </c>
      <c r="O24" s="10">
        <f t="shared" si="2"/>
        <v>4</v>
      </c>
      <c r="P24" s="7"/>
    </row>
    <row r="25" spans="1:16" x14ac:dyDescent="0.35">
      <c r="A25" s="6" t="s">
        <v>45</v>
      </c>
      <c r="B25" s="7" t="s">
        <v>46</v>
      </c>
      <c r="C25" s="7" t="s">
        <v>55</v>
      </c>
      <c r="D25" s="6">
        <v>46</v>
      </c>
      <c r="E25" s="6">
        <v>46</v>
      </c>
      <c r="F25" s="6">
        <f t="shared" si="0"/>
        <v>0</v>
      </c>
      <c r="G25" s="6">
        <v>0</v>
      </c>
      <c r="H25" s="18">
        <v>0</v>
      </c>
      <c r="I25" s="6">
        <v>0</v>
      </c>
      <c r="J25" s="6">
        <v>46</v>
      </c>
      <c r="K25" s="6">
        <v>5</v>
      </c>
      <c r="L25" s="8">
        <v>0</v>
      </c>
      <c r="M25" s="8">
        <v>5</v>
      </c>
      <c r="N25" s="8">
        <f t="shared" si="1"/>
        <v>41</v>
      </c>
      <c r="O25" s="10">
        <f t="shared" si="2"/>
        <v>41</v>
      </c>
      <c r="P25" s="7"/>
    </row>
    <row r="26" spans="1:16" x14ac:dyDescent="0.35">
      <c r="A26" s="6" t="s">
        <v>45</v>
      </c>
      <c r="B26" s="7" t="s">
        <v>46</v>
      </c>
      <c r="C26" s="7" t="s">
        <v>56</v>
      </c>
      <c r="D26" s="6">
        <v>104</v>
      </c>
      <c r="E26" s="6">
        <v>73</v>
      </c>
      <c r="F26" s="6">
        <f t="shared" si="0"/>
        <v>31</v>
      </c>
      <c r="G26" s="6">
        <v>0</v>
      </c>
      <c r="H26" s="18">
        <v>0</v>
      </c>
      <c r="I26" s="6">
        <v>6</v>
      </c>
      <c r="J26" s="6">
        <v>98</v>
      </c>
      <c r="K26" s="6">
        <v>8</v>
      </c>
      <c r="L26" s="8">
        <v>1</v>
      </c>
      <c r="M26" s="8">
        <v>7</v>
      </c>
      <c r="N26" s="8">
        <f t="shared" si="1"/>
        <v>96</v>
      </c>
      <c r="O26" s="10">
        <f t="shared" si="2"/>
        <v>96</v>
      </c>
      <c r="P26" s="7"/>
    </row>
    <row r="27" spans="1:16" x14ac:dyDescent="0.35">
      <c r="A27" s="6" t="s">
        <v>45</v>
      </c>
      <c r="B27" s="7" t="s">
        <v>46</v>
      </c>
      <c r="C27" s="7" t="s">
        <v>57</v>
      </c>
      <c r="D27" s="6">
        <v>837</v>
      </c>
      <c r="E27" s="6">
        <v>370</v>
      </c>
      <c r="F27" s="6">
        <f t="shared" si="0"/>
        <v>467</v>
      </c>
      <c r="G27" s="6">
        <v>78</v>
      </c>
      <c r="H27" s="6">
        <v>5</v>
      </c>
      <c r="I27" s="6">
        <v>115</v>
      </c>
      <c r="J27" s="6">
        <v>639</v>
      </c>
      <c r="K27" s="6">
        <v>211</v>
      </c>
      <c r="L27" s="8">
        <v>146</v>
      </c>
      <c r="M27" s="8">
        <v>65</v>
      </c>
      <c r="N27" s="8">
        <f t="shared" si="1"/>
        <v>626</v>
      </c>
      <c r="O27" s="10">
        <f t="shared" si="2"/>
        <v>626</v>
      </c>
      <c r="P27" s="7"/>
    </row>
    <row r="28" spans="1:16" x14ac:dyDescent="0.35">
      <c r="A28" s="6" t="s">
        <v>45</v>
      </c>
      <c r="B28" s="7" t="s">
        <v>46</v>
      </c>
      <c r="C28" s="7" t="s">
        <v>119</v>
      </c>
      <c r="D28" s="18">
        <v>149</v>
      </c>
      <c r="E28" s="6">
        <v>141</v>
      </c>
      <c r="F28" s="6">
        <f t="shared" si="0"/>
        <v>8</v>
      </c>
      <c r="G28" s="18">
        <v>2</v>
      </c>
      <c r="H28" s="18">
        <v>4</v>
      </c>
      <c r="I28" s="18">
        <v>1</v>
      </c>
      <c r="J28" s="20">
        <v>142</v>
      </c>
      <c r="K28" s="20">
        <v>27</v>
      </c>
      <c r="L28" s="8">
        <v>0</v>
      </c>
      <c r="M28" s="8">
        <v>27</v>
      </c>
      <c r="N28" s="8">
        <f t="shared" si="1"/>
        <v>122</v>
      </c>
      <c r="O28" s="10">
        <f t="shared" si="2"/>
        <v>122</v>
      </c>
      <c r="P28" s="21"/>
    </row>
    <row r="29" spans="1:16" x14ac:dyDescent="0.35">
      <c r="A29" s="6" t="s">
        <v>45</v>
      </c>
      <c r="B29" s="7" t="s">
        <v>115</v>
      </c>
      <c r="C29" s="7" t="s">
        <v>57</v>
      </c>
      <c r="D29" s="18">
        <v>7</v>
      </c>
      <c r="E29" s="6">
        <v>1</v>
      </c>
      <c r="F29" s="6">
        <f t="shared" si="0"/>
        <v>6</v>
      </c>
      <c r="G29" s="18">
        <v>0</v>
      </c>
      <c r="H29" s="18">
        <v>0</v>
      </c>
      <c r="I29" s="18">
        <v>0</v>
      </c>
      <c r="J29" s="20">
        <v>7</v>
      </c>
      <c r="K29" s="23">
        <v>0</v>
      </c>
      <c r="L29" s="8">
        <v>0</v>
      </c>
      <c r="M29" s="8">
        <v>0</v>
      </c>
      <c r="N29" s="8">
        <f t="shared" si="1"/>
        <v>7</v>
      </c>
      <c r="O29" s="10">
        <f t="shared" si="2"/>
        <v>7</v>
      </c>
    </row>
    <row r="30" spans="1:16" x14ac:dyDescent="0.35">
      <c r="A30" s="6" t="s">
        <v>45</v>
      </c>
      <c r="B30" s="7" t="s">
        <v>118</v>
      </c>
      <c r="C30" s="7" t="s">
        <v>119</v>
      </c>
      <c r="D30" s="18">
        <v>11</v>
      </c>
      <c r="E30" s="22">
        <v>11</v>
      </c>
      <c r="F30" s="6">
        <f t="shared" si="0"/>
        <v>0</v>
      </c>
      <c r="G30" s="20">
        <v>0</v>
      </c>
      <c r="H30" s="20">
        <v>0</v>
      </c>
      <c r="I30" s="23">
        <v>0</v>
      </c>
      <c r="J30" s="23">
        <v>11</v>
      </c>
      <c r="K30" s="23">
        <v>0</v>
      </c>
      <c r="L30" s="8">
        <v>0</v>
      </c>
      <c r="M30" s="8">
        <v>0</v>
      </c>
      <c r="N30" s="8">
        <f t="shared" si="1"/>
        <v>11</v>
      </c>
      <c r="O30" s="10">
        <f t="shared" si="2"/>
        <v>11</v>
      </c>
    </row>
    <row r="31" spans="1:16" x14ac:dyDescent="0.35">
      <c r="A31" s="6" t="s">
        <v>45</v>
      </c>
      <c r="B31" s="7" t="s">
        <v>118</v>
      </c>
      <c r="C31" s="7" t="s">
        <v>57</v>
      </c>
      <c r="D31" s="18">
        <v>13</v>
      </c>
      <c r="E31" s="6">
        <v>11</v>
      </c>
      <c r="F31" s="6">
        <f t="shared" si="0"/>
        <v>2</v>
      </c>
      <c r="G31" s="18">
        <v>0</v>
      </c>
      <c r="H31" s="18">
        <v>0</v>
      </c>
      <c r="I31" s="18">
        <v>0</v>
      </c>
      <c r="J31" s="20">
        <v>13</v>
      </c>
      <c r="K31" s="23">
        <v>0</v>
      </c>
      <c r="L31" s="8">
        <v>0</v>
      </c>
      <c r="M31" s="8">
        <v>0</v>
      </c>
      <c r="N31" s="8">
        <f t="shared" si="1"/>
        <v>13</v>
      </c>
      <c r="O31" s="10">
        <f t="shared" si="2"/>
        <v>13</v>
      </c>
    </row>
  </sheetData>
  <phoneticPr fontId="11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"/>
  <sheetViews>
    <sheetView zoomScale="85" zoomScaleNormal="85" workbookViewId="0">
      <selection activeCell="B11" sqref="B11"/>
    </sheetView>
  </sheetViews>
  <sheetFormatPr defaultColWidth="8.7265625" defaultRowHeight="14.5" x14ac:dyDescent="0.35"/>
  <cols>
    <col min="1" max="1" width="9.6328125" bestFit="1" customWidth="1"/>
    <col min="2" max="2" width="12.6328125" bestFit="1" customWidth="1"/>
    <col min="3" max="3" width="16.7265625" bestFit="1" customWidth="1"/>
    <col min="4" max="4" width="11.36328125" bestFit="1" customWidth="1"/>
    <col min="5" max="5" width="20.08984375" bestFit="1" customWidth="1"/>
    <col min="6" max="6" width="7.81640625" bestFit="1" customWidth="1"/>
    <col min="7" max="7" width="14.453125" bestFit="1" customWidth="1"/>
    <col min="8" max="8" width="6.7265625" bestFit="1" customWidth="1"/>
  </cols>
  <sheetData>
    <row r="1" spans="1:8" x14ac:dyDescent="0.35">
      <c r="A1" s="5" t="s">
        <v>15</v>
      </c>
      <c r="B1" s="5" t="s">
        <v>58</v>
      </c>
      <c r="C1" s="5" t="s">
        <v>59</v>
      </c>
      <c r="D1" s="5" t="s">
        <v>60</v>
      </c>
      <c r="E1" s="5" t="s">
        <v>61</v>
      </c>
      <c r="F1" s="5" t="s">
        <v>62</v>
      </c>
      <c r="G1" s="5" t="s">
        <v>23</v>
      </c>
      <c r="H1" s="5" t="s">
        <v>63</v>
      </c>
    </row>
    <row r="2" spans="1:8" x14ac:dyDescent="0.35">
      <c r="A2" s="6" t="s">
        <v>31</v>
      </c>
      <c r="B2" s="10">
        <v>1</v>
      </c>
      <c r="C2" s="24">
        <f>PENDENCIAS!N2/6</f>
        <v>0.16666666666666666</v>
      </c>
      <c r="D2" s="24">
        <f>C2/5</f>
        <v>3.3333333333333333E-2</v>
      </c>
      <c r="E2" s="16">
        <f>PACOTES!H2</f>
        <v>12</v>
      </c>
      <c r="F2" s="6"/>
      <c r="G2" s="6"/>
      <c r="H2" s="7"/>
    </row>
    <row r="3" spans="1:8" x14ac:dyDescent="0.35">
      <c r="A3" s="6" t="s">
        <v>31</v>
      </c>
      <c r="B3" s="10"/>
      <c r="C3" s="24">
        <f>PENDENCIAS!N3/6</f>
        <v>0.16666666666666666</v>
      </c>
      <c r="D3" s="24">
        <f t="shared" ref="D3:D31" si="0">C3/5</f>
        <v>3.3333333333333333E-2</v>
      </c>
      <c r="E3" s="16">
        <f>PACOTES!H3</f>
        <v>0</v>
      </c>
      <c r="F3" s="6"/>
      <c r="G3" s="6"/>
      <c r="H3" s="7"/>
    </row>
    <row r="4" spans="1:8" x14ac:dyDescent="0.35">
      <c r="A4" s="6" t="s">
        <v>31</v>
      </c>
      <c r="B4" s="10"/>
      <c r="C4" s="24">
        <f>PENDENCIAS!N4/6</f>
        <v>1</v>
      </c>
      <c r="D4" s="24">
        <f t="shared" si="0"/>
        <v>0.2</v>
      </c>
      <c r="E4" s="16">
        <f>PACOTES!H4</f>
        <v>0</v>
      </c>
      <c r="F4" s="6"/>
      <c r="G4" s="6"/>
      <c r="H4" s="7"/>
    </row>
    <row r="5" spans="1:8" x14ac:dyDescent="0.35">
      <c r="A5" s="6" t="s">
        <v>31</v>
      </c>
      <c r="B5" s="10"/>
      <c r="C5" s="24">
        <f>PENDENCIAS!N5/6</f>
        <v>17.333333333333332</v>
      </c>
      <c r="D5" s="24">
        <f t="shared" si="0"/>
        <v>3.4666666666666663</v>
      </c>
      <c r="E5" s="16">
        <f>PACOTES!H5</f>
        <v>0</v>
      </c>
      <c r="F5" s="6"/>
      <c r="G5" s="6"/>
      <c r="H5" s="7"/>
    </row>
    <row r="6" spans="1:8" x14ac:dyDescent="0.35">
      <c r="A6" s="6" t="s">
        <v>31</v>
      </c>
      <c r="B6" s="10">
        <v>1</v>
      </c>
      <c r="C6" s="24">
        <f>PENDENCIAS!N6/6</f>
        <v>9.5</v>
      </c>
      <c r="D6" s="24">
        <f t="shared" si="0"/>
        <v>1.9</v>
      </c>
      <c r="E6" s="16">
        <f>PACOTES!H6</f>
        <v>11</v>
      </c>
      <c r="F6" s="6"/>
      <c r="G6" s="6"/>
      <c r="H6" s="7"/>
    </row>
    <row r="7" spans="1:8" x14ac:dyDescent="0.35">
      <c r="A7" s="6" t="s">
        <v>31</v>
      </c>
      <c r="B7" s="10"/>
      <c r="C7" s="24">
        <f>PENDENCIAS!N7/6</f>
        <v>6.333333333333333</v>
      </c>
      <c r="D7" s="24">
        <f t="shared" si="0"/>
        <v>1.2666666666666666</v>
      </c>
      <c r="E7" s="16">
        <f>PACOTES!H7</f>
        <v>0</v>
      </c>
      <c r="F7" s="6"/>
      <c r="G7" s="6"/>
      <c r="H7" s="7"/>
    </row>
    <row r="8" spans="1:8" x14ac:dyDescent="0.35">
      <c r="A8" s="6" t="s">
        <v>31</v>
      </c>
      <c r="B8" s="10"/>
      <c r="C8" s="24">
        <f>PENDENCIAS!N8/6</f>
        <v>8.3333333333333339</v>
      </c>
      <c r="D8" s="24">
        <f t="shared" si="0"/>
        <v>1.6666666666666667</v>
      </c>
      <c r="E8" s="16">
        <f>PACOTES!H8</f>
        <v>0</v>
      </c>
      <c r="F8" s="6"/>
      <c r="G8" s="6"/>
      <c r="H8" s="7"/>
    </row>
    <row r="9" spans="1:8" x14ac:dyDescent="0.35">
      <c r="A9" s="6" t="s">
        <v>31</v>
      </c>
      <c r="B9" s="10"/>
      <c r="C9" s="24">
        <f>PENDENCIAS!N9/6</f>
        <v>2.1666666666666665</v>
      </c>
      <c r="D9" s="24">
        <f t="shared" si="0"/>
        <v>0.43333333333333329</v>
      </c>
      <c r="E9" s="16">
        <f>PACOTES!H9</f>
        <v>0</v>
      </c>
      <c r="F9" s="6"/>
      <c r="G9" s="6"/>
      <c r="H9" s="7"/>
    </row>
    <row r="10" spans="1:8" x14ac:dyDescent="0.35">
      <c r="A10" s="6" t="s">
        <v>31</v>
      </c>
      <c r="B10" s="10">
        <v>3</v>
      </c>
      <c r="C10" s="24">
        <f>PENDENCIAS!N10/6</f>
        <v>47.333333333333336</v>
      </c>
      <c r="D10" s="24">
        <f t="shared" si="0"/>
        <v>9.4666666666666668</v>
      </c>
      <c r="E10" s="16">
        <f>PACOTES!H10</f>
        <v>36</v>
      </c>
      <c r="F10" s="6"/>
      <c r="G10" s="6"/>
      <c r="H10" s="7"/>
    </row>
    <row r="11" spans="1:8" x14ac:dyDescent="0.35">
      <c r="A11" s="6" t="s">
        <v>31</v>
      </c>
      <c r="B11" s="10"/>
      <c r="C11" s="24">
        <f>PENDENCIAS!N11/6</f>
        <v>0.66666666666666663</v>
      </c>
      <c r="D11" s="24">
        <f t="shared" si="0"/>
        <v>0.13333333333333333</v>
      </c>
      <c r="E11" s="16">
        <f>PACOTES!H11</f>
        <v>0</v>
      </c>
      <c r="F11" s="6"/>
      <c r="G11" s="6"/>
      <c r="H11" s="7"/>
    </row>
    <row r="12" spans="1:8" x14ac:dyDescent="0.35">
      <c r="A12" s="6" t="s">
        <v>31</v>
      </c>
      <c r="C12" s="24">
        <f>PENDENCIAS!N12/6</f>
        <v>1.3333333333333333</v>
      </c>
      <c r="D12" s="24">
        <f t="shared" si="0"/>
        <v>0.26666666666666666</v>
      </c>
      <c r="E12" s="16">
        <f>PACOTES!H12</f>
        <v>0</v>
      </c>
    </row>
    <row r="13" spans="1:8" x14ac:dyDescent="0.35">
      <c r="A13" s="6" t="s">
        <v>31</v>
      </c>
      <c r="C13" s="24">
        <f>PENDENCIAS!N13/6</f>
        <v>2.3333333333333335</v>
      </c>
      <c r="D13" s="24">
        <f t="shared" si="0"/>
        <v>0.46666666666666667</v>
      </c>
      <c r="E13" s="16">
        <f>PACOTES!H13</f>
        <v>0</v>
      </c>
    </row>
    <row r="14" spans="1:8" x14ac:dyDescent="0.35">
      <c r="A14" s="6" t="s">
        <v>31</v>
      </c>
      <c r="C14" s="24">
        <f>PENDENCIAS!N14/6</f>
        <v>13.833333333333334</v>
      </c>
      <c r="D14" s="24">
        <f t="shared" si="0"/>
        <v>2.7666666666666666</v>
      </c>
      <c r="E14" s="16">
        <f>PACOTES!H14</f>
        <v>0</v>
      </c>
    </row>
    <row r="15" spans="1:8" x14ac:dyDescent="0.35">
      <c r="A15" s="6" t="s">
        <v>31</v>
      </c>
      <c r="C15" s="24">
        <f>PENDENCIAS!N15/6</f>
        <v>0.16666666666666666</v>
      </c>
      <c r="D15" s="24">
        <f t="shared" si="0"/>
        <v>3.3333333333333333E-2</v>
      </c>
      <c r="E15" s="16">
        <f>PACOTES!H15</f>
        <v>0</v>
      </c>
    </row>
    <row r="16" spans="1:8" x14ac:dyDescent="0.35">
      <c r="A16" s="6" t="s">
        <v>31</v>
      </c>
      <c r="C16" s="24">
        <f>PENDENCIAS!N16/6</f>
        <v>0.5</v>
      </c>
      <c r="D16" s="24">
        <f t="shared" si="0"/>
        <v>0.1</v>
      </c>
      <c r="E16" s="16">
        <f>PACOTES!H16</f>
        <v>0</v>
      </c>
    </row>
    <row r="17" spans="1:5" x14ac:dyDescent="0.35">
      <c r="A17" s="6" t="s">
        <v>38</v>
      </c>
      <c r="C17" s="24">
        <f>PENDENCIAS!N17/6</f>
        <v>4.666666666666667</v>
      </c>
      <c r="D17" s="24">
        <f t="shared" si="0"/>
        <v>0.93333333333333335</v>
      </c>
      <c r="E17" s="16">
        <f>PACOTES!H17</f>
        <v>0</v>
      </c>
    </row>
    <row r="18" spans="1:5" x14ac:dyDescent="0.35">
      <c r="A18" s="6" t="s">
        <v>38</v>
      </c>
      <c r="C18" s="24">
        <f>PENDENCIAS!N18/6</f>
        <v>6</v>
      </c>
      <c r="D18" s="24">
        <f t="shared" si="0"/>
        <v>1.2</v>
      </c>
      <c r="E18" s="16">
        <f>PACOTES!H18</f>
        <v>0</v>
      </c>
    </row>
    <row r="19" spans="1:5" x14ac:dyDescent="0.35">
      <c r="A19" s="6" t="s">
        <v>38</v>
      </c>
      <c r="C19" s="24">
        <f>PENDENCIAS!N19/6</f>
        <v>62.166666666666664</v>
      </c>
      <c r="D19" s="24">
        <f t="shared" si="0"/>
        <v>12.433333333333334</v>
      </c>
      <c r="E19" s="16">
        <f>PACOTES!H19</f>
        <v>0</v>
      </c>
    </row>
    <row r="20" spans="1:5" x14ac:dyDescent="0.35">
      <c r="A20" s="6" t="s">
        <v>38</v>
      </c>
      <c r="C20" s="24">
        <f>PENDENCIAS!N20/6</f>
        <v>11.5</v>
      </c>
      <c r="D20" s="24">
        <f t="shared" si="0"/>
        <v>2.2999999999999998</v>
      </c>
      <c r="E20" s="16">
        <f>PACOTES!H20</f>
        <v>0</v>
      </c>
    </row>
    <row r="21" spans="1:5" x14ac:dyDescent="0.35">
      <c r="A21" s="6" t="s">
        <v>38</v>
      </c>
      <c r="C21" s="24">
        <f>PENDENCIAS!N21/6</f>
        <v>0.16666666666666666</v>
      </c>
      <c r="D21" s="24">
        <f t="shared" si="0"/>
        <v>3.3333333333333333E-2</v>
      </c>
      <c r="E21" s="16">
        <f>PACOTES!H21</f>
        <v>0</v>
      </c>
    </row>
    <row r="22" spans="1:5" x14ac:dyDescent="0.35">
      <c r="A22" s="6" t="s">
        <v>38</v>
      </c>
      <c r="C22" s="24">
        <f>PENDENCIAS!N22/6</f>
        <v>0.83333333333333337</v>
      </c>
      <c r="D22" s="24">
        <f t="shared" si="0"/>
        <v>0.16666666666666669</v>
      </c>
      <c r="E22" s="16">
        <f>PACOTES!H23</f>
        <v>0</v>
      </c>
    </row>
    <row r="23" spans="1:5" x14ac:dyDescent="0.35">
      <c r="A23" s="6" t="s">
        <v>38</v>
      </c>
      <c r="C23" s="24">
        <f>PENDENCIAS!N23/6</f>
        <v>0.33333333333333331</v>
      </c>
      <c r="D23" s="24">
        <f t="shared" si="0"/>
        <v>6.6666666666666666E-2</v>
      </c>
      <c r="E23" s="16">
        <f>PACOTES!H24</f>
        <v>0</v>
      </c>
    </row>
    <row r="24" spans="1:5" x14ac:dyDescent="0.35">
      <c r="A24" s="6" t="s">
        <v>38</v>
      </c>
      <c r="C24" s="24">
        <f>PENDENCIAS!N24/6</f>
        <v>0.66666666666666663</v>
      </c>
      <c r="D24" s="24">
        <f t="shared" si="0"/>
        <v>0.13333333333333333</v>
      </c>
      <c r="E24" s="16">
        <f>PACOTES!H25</f>
        <v>0</v>
      </c>
    </row>
    <row r="25" spans="1:5" x14ac:dyDescent="0.35">
      <c r="A25" s="6" t="s">
        <v>45</v>
      </c>
      <c r="C25" s="24">
        <f>PENDENCIAS!N25/6</f>
        <v>6.833333333333333</v>
      </c>
      <c r="D25" s="24">
        <f t="shared" si="0"/>
        <v>1.3666666666666667</v>
      </c>
      <c r="E25" s="16">
        <f>PACOTES!H26</f>
        <v>0</v>
      </c>
    </row>
    <row r="26" spans="1:5" x14ac:dyDescent="0.35">
      <c r="A26" s="6" t="s">
        <v>45</v>
      </c>
      <c r="C26" s="24">
        <f>PENDENCIAS!N26/6</f>
        <v>16</v>
      </c>
      <c r="D26" s="24">
        <f t="shared" si="0"/>
        <v>3.2</v>
      </c>
      <c r="E26" s="16">
        <f>PACOTES!H27</f>
        <v>0</v>
      </c>
    </row>
    <row r="27" spans="1:5" x14ac:dyDescent="0.35">
      <c r="A27" s="6" t="s">
        <v>45</v>
      </c>
      <c r="C27" s="24">
        <f>PENDENCIAS!N27/6</f>
        <v>104.33333333333333</v>
      </c>
      <c r="D27" s="24">
        <f t="shared" si="0"/>
        <v>20.866666666666667</v>
      </c>
      <c r="E27" s="16">
        <f>PACOTES!H28</f>
        <v>0</v>
      </c>
    </row>
    <row r="28" spans="1:5" x14ac:dyDescent="0.35">
      <c r="A28" s="6" t="s">
        <v>45</v>
      </c>
      <c r="C28" s="24">
        <f>PENDENCIAS!N28/6</f>
        <v>20.333333333333332</v>
      </c>
      <c r="D28" s="24">
        <f t="shared" si="0"/>
        <v>4.0666666666666664</v>
      </c>
      <c r="E28" s="16">
        <f>PACOTES!H29</f>
        <v>0</v>
      </c>
    </row>
    <row r="29" spans="1:5" x14ac:dyDescent="0.35">
      <c r="A29" s="6" t="s">
        <v>45</v>
      </c>
      <c r="C29" s="24">
        <f>PENDENCIAS!N29/6</f>
        <v>1.1666666666666667</v>
      </c>
      <c r="D29" s="24">
        <f t="shared" si="0"/>
        <v>0.23333333333333334</v>
      </c>
      <c r="E29" s="16">
        <f>PACOTES!H30</f>
        <v>0</v>
      </c>
    </row>
    <row r="30" spans="1:5" x14ac:dyDescent="0.35">
      <c r="A30" s="6" t="s">
        <v>45</v>
      </c>
      <c r="C30" s="24">
        <f>PENDENCIAS!N30/6</f>
        <v>1.8333333333333333</v>
      </c>
      <c r="D30" s="24">
        <f t="shared" si="0"/>
        <v>0.36666666666666664</v>
      </c>
      <c r="E30" s="16">
        <f>PACOTES!H31</f>
        <v>0</v>
      </c>
    </row>
    <row r="31" spans="1:5" x14ac:dyDescent="0.35">
      <c r="A31" s="6" t="s">
        <v>45</v>
      </c>
      <c r="C31" s="24">
        <f>PENDENCIAS!N31/6</f>
        <v>2.1666666666666665</v>
      </c>
      <c r="D31" s="24">
        <f t="shared" si="0"/>
        <v>0.43333333333333329</v>
      </c>
      <c r="E31" s="16">
        <f>PACOTES!H32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7"/>
  <sheetViews>
    <sheetView zoomScale="85" zoomScaleNormal="85" workbookViewId="0">
      <selection activeCell="D4" sqref="D4"/>
    </sheetView>
  </sheetViews>
  <sheetFormatPr defaultColWidth="8.7265625" defaultRowHeight="14.5" x14ac:dyDescent="0.35"/>
  <cols>
    <col min="1" max="1" width="16.08984375" customWidth="1"/>
    <col min="2" max="2" width="8.1796875" bestFit="1" customWidth="1"/>
    <col min="3" max="3" width="38.26953125" bestFit="1" customWidth="1"/>
    <col min="4" max="4" width="84.54296875" bestFit="1" customWidth="1"/>
  </cols>
  <sheetData>
    <row r="1" spans="1:4" x14ac:dyDescent="0.35">
      <c r="A1" s="5" t="s">
        <v>15</v>
      </c>
      <c r="B1" s="5" t="s">
        <v>51</v>
      </c>
      <c r="C1" s="5" t="s">
        <v>64</v>
      </c>
      <c r="D1" s="5" t="s">
        <v>65</v>
      </c>
    </row>
    <row r="2" spans="1:4" ht="25" x14ac:dyDescent="0.35">
      <c r="A2" s="10" t="s">
        <v>66</v>
      </c>
      <c r="B2" s="11" t="s">
        <v>67</v>
      </c>
      <c r="C2" s="12" t="s">
        <v>68</v>
      </c>
      <c r="D2" s="7" t="s">
        <v>69</v>
      </c>
    </row>
    <row r="3" spans="1:4" ht="25" x14ac:dyDescent="0.35">
      <c r="A3" s="10" t="s">
        <v>66</v>
      </c>
      <c r="B3" s="13" t="s">
        <v>70</v>
      </c>
      <c r="C3" s="12" t="s">
        <v>71</v>
      </c>
      <c r="D3" s="7" t="s">
        <v>72</v>
      </c>
    </row>
    <row r="4" spans="1:4" ht="25" x14ac:dyDescent="0.35">
      <c r="A4" s="10" t="s">
        <v>66</v>
      </c>
      <c r="B4" s="14" t="s">
        <v>73</v>
      </c>
      <c r="C4" s="12" t="s">
        <v>74</v>
      </c>
      <c r="D4" s="7" t="s">
        <v>75</v>
      </c>
    </row>
    <row r="5" spans="1:4" ht="25" x14ac:dyDescent="0.35">
      <c r="A5" s="10" t="s">
        <v>66</v>
      </c>
      <c r="B5" s="14" t="s">
        <v>73</v>
      </c>
      <c r="C5" s="12" t="s">
        <v>76</v>
      </c>
      <c r="D5" s="7" t="s">
        <v>77</v>
      </c>
    </row>
    <row r="6" spans="1:4" ht="26" x14ac:dyDescent="0.35">
      <c r="A6" s="10" t="s">
        <v>31</v>
      </c>
      <c r="B6" s="13" t="s">
        <v>70</v>
      </c>
      <c r="C6" s="12" t="s">
        <v>78</v>
      </c>
      <c r="D6" s="7" t="s">
        <v>79</v>
      </c>
    </row>
    <row r="7" spans="1:4" ht="25" x14ac:dyDescent="0.35">
      <c r="A7" s="10" t="s">
        <v>31</v>
      </c>
      <c r="B7" s="14" t="s">
        <v>73</v>
      </c>
      <c r="C7" s="12" t="s">
        <v>80</v>
      </c>
      <c r="D7" s="7" t="s">
        <v>81</v>
      </c>
    </row>
    <row r="8" spans="1:4" ht="25" x14ac:dyDescent="0.35">
      <c r="A8" s="10" t="s">
        <v>31</v>
      </c>
      <c r="B8" s="11" t="s">
        <v>67</v>
      </c>
      <c r="C8" s="12" t="s">
        <v>82</v>
      </c>
      <c r="D8" s="7" t="s">
        <v>83</v>
      </c>
    </row>
    <row r="9" spans="1:4" x14ac:dyDescent="0.35">
      <c r="A9" s="10" t="s">
        <v>31</v>
      </c>
      <c r="B9" s="14" t="s">
        <v>73</v>
      </c>
      <c r="C9" s="12" t="s">
        <v>84</v>
      </c>
      <c r="D9" s="7" t="s">
        <v>85</v>
      </c>
    </row>
    <row r="10" spans="1:4" ht="25" x14ac:dyDescent="0.35">
      <c r="A10" s="10" t="s">
        <v>38</v>
      </c>
      <c r="B10" s="11" t="s">
        <v>67</v>
      </c>
      <c r="C10" s="12" t="s">
        <v>86</v>
      </c>
      <c r="D10" s="7" t="s">
        <v>87</v>
      </c>
    </row>
    <row r="11" spans="1:4" ht="25" x14ac:dyDescent="0.35">
      <c r="A11" s="10" t="s">
        <v>38</v>
      </c>
      <c r="B11" s="13" t="s">
        <v>70</v>
      </c>
      <c r="C11" s="12" t="s">
        <v>88</v>
      </c>
      <c r="D11" s="7" t="s">
        <v>89</v>
      </c>
    </row>
    <row r="12" spans="1:4" ht="25" x14ac:dyDescent="0.35">
      <c r="A12" s="10" t="s">
        <v>38</v>
      </c>
      <c r="B12" s="14" t="s">
        <v>73</v>
      </c>
      <c r="C12" s="12" t="s">
        <v>90</v>
      </c>
      <c r="D12" s="7" t="s">
        <v>91</v>
      </c>
    </row>
    <row r="13" spans="1:4" x14ac:dyDescent="0.35">
      <c r="A13" s="10" t="s">
        <v>38</v>
      </c>
      <c r="B13" s="11" t="s">
        <v>67</v>
      </c>
      <c r="C13" s="12" t="s">
        <v>92</v>
      </c>
      <c r="D13" s="7" t="s">
        <v>93</v>
      </c>
    </row>
    <row r="14" spans="1:4" ht="25" x14ac:dyDescent="0.35">
      <c r="A14" s="10" t="s">
        <v>45</v>
      </c>
      <c r="B14" s="13" t="s">
        <v>70</v>
      </c>
      <c r="C14" s="12" t="s">
        <v>94</v>
      </c>
      <c r="D14" s="7" t="s">
        <v>95</v>
      </c>
    </row>
    <row r="15" spans="1:4" ht="25" x14ac:dyDescent="0.35">
      <c r="A15" s="10" t="s">
        <v>45</v>
      </c>
      <c r="B15" s="13" t="s">
        <v>70</v>
      </c>
      <c r="C15" s="12" t="s">
        <v>96</v>
      </c>
      <c r="D15" s="7" t="s">
        <v>97</v>
      </c>
    </row>
    <row r="16" spans="1:4" x14ac:dyDescent="0.35">
      <c r="A16" s="10" t="s">
        <v>45</v>
      </c>
      <c r="B16" s="11" t="s">
        <v>67</v>
      </c>
      <c r="C16" s="12" t="s">
        <v>98</v>
      </c>
      <c r="D16" s="7" t="s">
        <v>99</v>
      </c>
    </row>
    <row r="17" spans="1:4" ht="25" x14ac:dyDescent="0.35">
      <c r="A17" s="10" t="s">
        <v>45</v>
      </c>
      <c r="B17" s="14" t="s">
        <v>73</v>
      </c>
      <c r="C17" s="12" t="s">
        <v>100</v>
      </c>
      <c r="D17" s="7" t="s">
        <v>101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7"/>
  <sheetViews>
    <sheetView zoomScaleNormal="100" workbookViewId="0">
      <selection activeCell="B11" sqref="B11"/>
    </sheetView>
  </sheetViews>
  <sheetFormatPr defaultColWidth="8.7265625" defaultRowHeight="14.5" x14ac:dyDescent="0.35"/>
  <cols>
    <col min="1" max="1" width="22" customWidth="1"/>
    <col min="2" max="2" width="75" customWidth="1"/>
  </cols>
  <sheetData>
    <row r="1" spans="1:2" x14ac:dyDescent="0.35">
      <c r="A1" s="5" t="s">
        <v>102</v>
      </c>
      <c r="B1" s="5" t="s">
        <v>103</v>
      </c>
    </row>
    <row r="2" spans="1:2" x14ac:dyDescent="0.35">
      <c r="A2" s="15" t="s">
        <v>64</v>
      </c>
      <c r="B2" s="7" t="s">
        <v>104</v>
      </c>
    </row>
    <row r="3" spans="1:2" x14ac:dyDescent="0.35">
      <c r="A3" s="15" t="s">
        <v>105</v>
      </c>
      <c r="B3" s="7" t="s">
        <v>106</v>
      </c>
    </row>
    <row r="4" spans="1:2" x14ac:dyDescent="0.35">
      <c r="A4" s="15" t="s">
        <v>107</v>
      </c>
      <c r="B4" s="17" t="s">
        <v>126</v>
      </c>
    </row>
    <row r="5" spans="1:2" x14ac:dyDescent="0.35">
      <c r="A5" s="15" t="s">
        <v>108</v>
      </c>
      <c r="B5" s="7" t="s">
        <v>109</v>
      </c>
    </row>
    <row r="6" spans="1:2" ht="25" x14ac:dyDescent="0.35">
      <c r="A6" s="15" t="s">
        <v>110</v>
      </c>
      <c r="B6" s="7" t="s">
        <v>111</v>
      </c>
    </row>
    <row r="7" spans="1:2" x14ac:dyDescent="0.35">
      <c r="A7" s="15" t="s">
        <v>112</v>
      </c>
      <c r="B7" s="25">
        <v>46295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01A7D55F60B18408D7825C28E029F51" ma:contentTypeVersion="19" ma:contentTypeDescription="Crie um novo documento." ma:contentTypeScope="" ma:versionID="26245b19684232a249215bac47317027">
  <xsd:schema xmlns:xsd="http://www.w3.org/2001/XMLSchema" xmlns:xs="http://www.w3.org/2001/XMLSchema" xmlns:p="http://schemas.microsoft.com/office/2006/metadata/properties" xmlns:ns1="http://schemas.microsoft.com/sharepoint/v3" xmlns:ns2="b633a64c-250e-4f9b-b03e-91a68bc51404" xmlns:ns3="442af37a-3796-4d85-82a9-7fed4a3d9bab" targetNamespace="http://schemas.microsoft.com/office/2006/metadata/properties" ma:root="true" ma:fieldsID="0b8051d1477f5ab751da8276506a6b46" ns1:_="" ns2:_="" ns3:_="">
    <xsd:import namespace="http://schemas.microsoft.com/sharepoint/v3"/>
    <xsd:import namespace="b633a64c-250e-4f9b-b03e-91a68bc51404"/>
    <xsd:import namespace="442af37a-3796-4d85-82a9-7fed4a3d9ba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1:_ip_UnifiedCompliancePolicyProperties" minOccurs="0"/>
                <xsd:element ref="ns1:_ip_UnifiedCompliancePolicyUIAction" minOccurs="0"/>
                <xsd:element ref="ns2:MediaServiceDateTaken" minOccurs="0"/>
                <xsd:element ref="ns2:MediaServiceObjectDetectorVersions" minOccurs="0"/>
                <xsd:element ref="ns2:MediaServiceLocation" minOccurs="0"/>
                <xsd:element ref="ns2:_Flow_SignoffStatus" minOccurs="0"/>
                <xsd:element ref="ns2:MediaLengthInSecond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8" nillable="true" ma:displayName="Propriedades da Política de Conformidade Unificada" ma:hidden="true" ma:internalName="_ip_UnifiedCompliancePolicyProperties">
      <xsd:simpleType>
        <xsd:restriction base="dms:Note"/>
      </xsd:simpleType>
    </xsd:element>
    <xsd:element name="_ip_UnifiedCompliancePolicyUIAction" ma:index="19" nillable="true" ma:displayName="Ação de Interface do Usuário da Política de Conformidade Unificada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33a64c-250e-4f9b-b03e-91a68bc5140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Marcações de imagem" ma:readOnly="false" ma:fieldId="{5cf76f15-5ced-4ddc-b409-7134ff3c332f}" ma:taxonomyMulti="true" ma:sspId="7bfb4e49-6f5d-460f-8245-f0e15177ea6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2af37a-3796-4d85-82a9-7fed4a3d9bab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c01f1a95-fe8a-4ef2-a1aa-bea3be48d6af}" ma:internalName="TaxCatchAll" ma:showField="CatchAllData" ma:web="442af37a-3796-4d85-82a9-7fed4a3d9ba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633a64c-250e-4f9b-b03e-91a68bc51404">
      <Terms xmlns="http://schemas.microsoft.com/office/infopath/2007/PartnerControls"/>
    </lcf76f155ced4ddcb4097134ff3c332f>
    <_ip_UnifiedCompliancePolicyUIAction xmlns="http://schemas.microsoft.com/sharepoint/v3" xsi:nil="true"/>
    <_ip_UnifiedCompliancePolicyProperties xmlns="http://schemas.microsoft.com/sharepoint/v3" xsi:nil="true"/>
    <TaxCatchAll xmlns="442af37a-3796-4d85-82a9-7fed4a3d9bab" xsi:nil="true"/>
    <_Flow_SignoffStatus xmlns="b633a64c-250e-4f9b-b03e-91a68bc51404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E3A740B-A3FE-4C50-A000-9FAE2510E70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b633a64c-250e-4f9b-b03e-91a68bc51404"/>
    <ds:schemaRef ds:uri="442af37a-3796-4d85-82a9-7fed4a3d9ba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BBCA61A-72EE-4D20-B5D5-B108D9E4C84F}">
  <ds:schemaRefs>
    <ds:schemaRef ds:uri="442af37a-3796-4d85-82a9-7fed4a3d9bab"/>
    <ds:schemaRef ds:uri="http://purl.org/dc/elements/1.1/"/>
    <ds:schemaRef ds:uri="http://schemas.microsoft.com/sharepoint/v3"/>
    <ds:schemaRef ds:uri="http://purl.org/dc/terms/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b633a64c-250e-4f9b-b03e-91a68bc51404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5F9301C3-A4EA-4724-ABB3-5F8D135D20EC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340ed6a7-0f03-43d9-901d-02d4a7e408aa}" enabled="1" method="Privileged" siteId="{7893571b-6c2c-4cef-b4da-7d4b266a062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PACOTES</vt:lpstr>
      <vt:lpstr>PENDENCIAS</vt:lpstr>
      <vt:lpstr>CENARIOS</vt:lpstr>
      <vt:lpstr>ALERTAS</vt:lpstr>
      <vt:lpstr>META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Eder Valasco</cp:lastModifiedBy>
  <cp:revision>0</cp:revision>
  <dcterms:created xsi:type="dcterms:W3CDTF">2026-07-04T23:14:05Z</dcterms:created>
  <dcterms:modified xsi:type="dcterms:W3CDTF">2026-08-19T02:40:42Z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0x010100401A7D55F60B18408D7825C28E029F51</vt:lpwstr>
  </property>
  <property fmtid="{D5CDD505-2E9C-101B-9397-08002B2CF9AE}" pid="3" name="MediaServiceImageTags">
    <vt:lpwstr/>
  </property>
  <property fmtid="{D5CDD505-2E9C-101B-9397-08002B2CF9AE}" pid="4" name="MSIP_Label_8dfc4922-3fd1-4789-82f2-615f80bb0c20_Enabled">
    <vt:lpwstr>true</vt:lpwstr>
  </property>
  <property fmtid="{D5CDD505-2E9C-101B-9397-08002B2CF9AE}" pid="5" name="MSIP_Label_8dfc4922-3fd1-4789-82f2-615f80bb0c20_SetDate">
    <vt:lpwstr>2026-08-19T02:34:24Z</vt:lpwstr>
  </property>
  <property fmtid="{D5CDD505-2E9C-101B-9397-08002B2CF9AE}" pid="6" name="MSIP_Label_8dfc4922-3fd1-4789-82f2-615f80bb0c20_Method">
    <vt:lpwstr>Privileged</vt:lpwstr>
  </property>
  <property fmtid="{D5CDD505-2E9C-101B-9397-08002B2CF9AE}" pid="7" name="MSIP_Label_8dfc4922-3fd1-4789-82f2-615f80bb0c20_Name">
    <vt:lpwstr>Public</vt:lpwstr>
  </property>
  <property fmtid="{D5CDD505-2E9C-101B-9397-08002B2CF9AE}" pid="8" name="MSIP_Label_8dfc4922-3fd1-4789-82f2-615f80bb0c20_SiteId">
    <vt:lpwstr>ca18acb0-3312-44f2-869d-5b01ed8bb47d</vt:lpwstr>
  </property>
  <property fmtid="{D5CDD505-2E9C-101B-9397-08002B2CF9AE}" pid="9" name="MSIP_Label_8dfc4922-3fd1-4789-82f2-615f80bb0c20_ActionId">
    <vt:lpwstr>dc72dbe7-59a7-435c-84d4-01463afd0883</vt:lpwstr>
  </property>
  <property fmtid="{D5CDD505-2E9C-101B-9397-08002B2CF9AE}" pid="10" name="MSIP_Label_8dfc4922-3fd1-4789-82f2-615f80bb0c20_ContentBits">
    <vt:lpwstr>0</vt:lpwstr>
  </property>
  <property fmtid="{D5CDD505-2E9C-101B-9397-08002B2CF9AE}" pid="11" name="MSIP_Label_8dfc4922-3fd1-4789-82f2-615f80bb0c20_Tag">
    <vt:lpwstr>10, 0, 1, 1</vt:lpwstr>
  </property>
</Properties>
</file>