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OES" sheetId="1" state="visible" r:id="rId3"/>
    <sheet name="PACOTES" sheetId="2" state="visible" r:id="rId4"/>
    <sheet name="PENDENCIAS" sheetId="3" state="visible" r:id="rId5"/>
    <sheet name="CENARIOS" sheetId="4" state="visible" r:id="rId6"/>
    <sheet name="ALERTAS" sheetId="5" state="visible" r:id="rId7"/>
    <sheet name="META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<sst xmlns="http://schemas.openxmlformats.org/spreadsheetml/2006/main" count="229" uniqueCount="146">
  <si>
    <t xml:space="preserve">PAINEL DE PENDÊNCIAS FICO INFRA — BASE ÚNICA DE DADOS</t>
  </si>
  <si>
    <t xml:space="preserve">Esta planilha é a FONTE ÚNICA do painel. Todo o conteúdo do HTML (números, cards, tabelas, cenários e alertas) é lido daqui.</t>
  </si>
  <si>
    <t xml:space="preserve">COMO ATUALIZAR:</t>
  </si>
  <si>
    <t xml:space="preserve">1. Edite os valores nas abas abaixo. NÃO altere nomes de abas nem os cabeçalhos da linha 1.</t>
  </si>
  <si>
    <t xml:space="preserve">2. A coluna PENDENTE (aba PENDENCIAS) e GAP_PCT (aba PACOTES) são fórmulas — não preencha à mão.</t>
  </si>
  <si>
    <t xml:space="preserve">3. Salve e suba no GitHub com o nome fixo: Base_Pendencias_FICO.xlsx</t>
  </si>
  <si>
    <t xml:space="preserve">4. O painel HTML puxa automaticamente a cada abertura (indicador 'sincronizado' no topo).</t>
  </si>
  <si>
    <t xml:space="preserve">ABAS:</t>
  </si>
  <si>
    <t xml:space="preserve">   • PACOTES     — 1 linha por pacote: empresa, KM, efetivo (enc/of/serv), mobilizado, necessário, cronograma, RNC, status.</t>
  </si>
  <si>
    <t xml:space="preserve">   • PENDENCIAS  — escopo por tipo (Total / Executado). PENDENTE é calculado.</t>
  </si>
  <si>
    <t xml:space="preserve">   • CENARIOS    — cenários de dimensionamento (1 a N equipes). ATUAL/NECESSARIO = marque com SIM.</t>
  </si>
  <si>
    <t xml:space="preserve">   • ALERTAS     — cards de alerta. PACOTE = GERAL / P1 / P2 / P3. TIPO = CRITICO / AVISO / INFO.</t>
  </si>
  <si>
    <t xml:space="preserve">   • META        — título, subtítulo, data de referência, premissa, marco.</t>
  </si>
  <si>
    <t xml:space="preserve">REGRAS DO SEMÁFORO (cor calculada pelo GAP): 0% = verde · até 30% = amarelo · acima de 30% = vermelho.</t>
  </si>
  <si>
    <t xml:space="preserve">O texto do status vem da coluna STATUS_TXT (aba PACOTES).</t>
  </si>
  <si>
    <t xml:space="preserve">PACOTE</t>
  </si>
  <si>
    <t xml:space="preserve">EMPRESA</t>
  </si>
  <si>
    <t xml:space="preserve">KM</t>
  </si>
  <si>
    <t xml:space="preserve">CRONOGRAMA</t>
  </si>
  <si>
    <t xml:space="preserve">ENCARREGADOS</t>
  </si>
  <si>
    <t xml:space="preserve">OFICIAIS</t>
  </si>
  <si>
    <t xml:space="preserve">SERVENTES</t>
  </si>
  <si>
    <t xml:space="preserve">MOBILIZADO</t>
  </si>
  <si>
    <t xml:space="preserve">NECESSARIO</t>
  </si>
  <si>
    <t xml:space="preserve">GAP_PCT</t>
  </si>
  <si>
    <t xml:space="preserve">STATUS_TXT</t>
  </si>
  <si>
    <t xml:space="preserve">RNC</t>
  </si>
  <si>
    <t xml:space="preserve">START_SEMANA</t>
  </si>
  <si>
    <t xml:space="preserve">EXTRA_LABEL</t>
  </si>
  <si>
    <t xml:space="preserve">EXTRA_VALUE</t>
  </si>
  <si>
    <t xml:space="preserve">MOB_NOTA</t>
  </si>
  <si>
    <t xml:space="preserve">P1</t>
  </si>
  <si>
    <t xml:space="preserve">EMPA</t>
  </si>
  <si>
    <t xml:space="preserve">KM 0 – 34+500</t>
  </si>
  <si>
    <t xml:space="preserve">Jul (4) + Ago (4) + Set (4) = 12 semanas</t>
  </si>
  <si>
    <t xml:space="preserve">Mobilização OK</t>
  </si>
  <si>
    <t xml:space="preserve">Marco final</t>
  </si>
  <si>
    <t xml:space="preserve">15/10/2026</t>
  </si>
  <si>
    <t xml:space="preserve">P2</t>
  </si>
  <si>
    <t xml:space="preserve">ATERPA</t>
  </si>
  <si>
    <t xml:space="preserve">KM 34+500 – 69+500</t>
  </si>
  <si>
    <t xml:space="preserve">Jul (2) + Ago (4) + Set (4) = 10 semanas</t>
  </si>
  <si>
    <t xml:space="preserve">Mobilização crítica</t>
  </si>
  <si>
    <t xml:space="preserve">Mobilização a partir de</t>
  </si>
  <si>
    <t xml:space="preserve">15/07/2026</t>
  </si>
  <si>
    <t xml:space="preserve">Mobilização a partir de 15/07/2026. Vale está fazendo reinspeção em campo para baixar novas pendências.</t>
  </si>
  <si>
    <t xml:space="preserve">P3</t>
  </si>
  <si>
    <t xml:space="preserve">ÁPIA</t>
  </si>
  <si>
    <t xml:space="preserve">KM 69+500 – 104+500</t>
  </si>
  <si>
    <t xml:space="preserve">Atenção</t>
  </si>
  <si>
    <t xml:space="preserve">Equipes atuais</t>
  </si>
  <si>
    <t xml:space="preserve">2 frentes</t>
  </si>
  <si>
    <t xml:space="preserve">TIPO</t>
  </si>
  <si>
    <t xml:space="preserve">TOTAL</t>
  </si>
  <si>
    <t xml:space="preserve">EXECUTADO</t>
  </si>
  <si>
    <t xml:space="preserve">PENDENTE</t>
  </si>
  <si>
    <t xml:space="preserve">OBSERVACAO</t>
  </si>
  <si>
    <t xml:space="preserve">DOCUMENTAL</t>
  </si>
  <si>
    <t xml:space="preserve">HIDRO</t>
  </si>
  <si>
    <t xml:space="preserve">MARCO FINAL ATÉ 15/10</t>
  </si>
  <si>
    <t xml:space="preserve">VALE</t>
  </si>
  <si>
    <t xml:space="preserve">Avaliar</t>
  </si>
  <si>
    <t xml:space="preserve">BAIXAR DOC.</t>
  </si>
  <si>
    <t xml:space="preserve">Baixar c/ documentação</t>
  </si>
  <si>
    <t xml:space="preserve">TAC 05</t>
  </si>
  <si>
    <t xml:space="preserve">REPAROS</t>
  </si>
  <si>
    <t xml:space="preserve">Maior volume — foco da mobilização</t>
  </si>
  <si>
    <t xml:space="preserve">Maior volume — foco das 2 frentes</t>
  </si>
  <si>
    <t xml:space="preserve">N_EQUIPES</t>
  </si>
  <si>
    <t xml:space="preserve">PEND_SEMANA</t>
  </si>
  <si>
    <t xml:space="preserve">PEND_DIA</t>
  </si>
  <si>
    <t xml:space="preserve">COLABORADORES</t>
  </si>
  <si>
    <t xml:space="preserve">ATUAL</t>
  </si>
  <si>
    <t xml:space="preserve">NOTA</t>
  </si>
  <si>
    <t xml:space="preserve">8,7</t>
  </si>
  <si>
    <t xml:space="preserve">1,7</t>
  </si>
  <si>
    <t xml:space="preserve">SIM</t>
  </si>
  <si>
    <t xml:space="preserve">Base: 104 reparos restantes</t>
  </si>
  <si>
    <t xml:space="preserve">65,5</t>
  </si>
  <si>
    <t xml:space="preserve">13,1</t>
  </si>
  <si>
    <t xml:space="preserve">32,8</t>
  </si>
  <si>
    <t xml:space="preserve">6,6</t>
  </si>
  <si>
    <t xml:space="preserve">21,8</t>
  </si>
  <si>
    <t xml:space="preserve">4,4</t>
  </si>
  <si>
    <t xml:space="preserve">16,4</t>
  </si>
  <si>
    <t xml:space="preserve">3,3</t>
  </si>
  <si>
    <t xml:space="preserve">2,6</t>
  </si>
  <si>
    <t xml:space="preserve">41,7</t>
  </si>
  <si>
    <t xml:space="preserve">8,3</t>
  </si>
  <si>
    <t xml:space="preserve">20,8</t>
  </si>
  <si>
    <t xml:space="preserve">4,2</t>
  </si>
  <si>
    <t xml:space="preserve">13,9</t>
  </si>
  <si>
    <t xml:space="preserve">2,8</t>
  </si>
  <si>
    <t xml:space="preserve">10,4</t>
  </si>
  <si>
    <t xml:space="preserve">2,1</t>
  </si>
  <si>
    <t xml:space="preserve">TITULO</t>
  </si>
  <si>
    <t xml:space="preserve">TEXTO</t>
  </si>
  <si>
    <t xml:space="preserve">GERAL</t>
  </si>
  <si>
    <t xml:space="preserve">CRITICO</t>
  </si>
  <si>
    <t xml:space="preserve">Gap crítico de mobilização — Pacote 02</t>
  </si>
  <si>
    <t xml:space="preserve">ATERPA com 30 colaboradores mobilizados frente aos 60 necessários (5 equipes × 12). Ritmo atual não zera as 684 pendências no prazo.</t>
  </si>
  <si>
    <t xml:space="preserve">AVISO</t>
  </si>
  <si>
    <t xml:space="preserve">Risco de refazimento — Pacote 01</t>
  </si>
  <si>
    <t xml:space="preserve">EMPA reporta ~40% de refazimento pós reinspeção. Combinado acompanhar e, se percentual se mantiver, incrementar equipes para preservar marco 15/10.</t>
  </si>
  <si>
    <t xml:space="preserve">INFO</t>
  </si>
  <si>
    <t xml:space="preserve">Reinspeção em curso</t>
  </si>
  <si>
    <t xml:space="preserve">EMPA solicitará reinspeção de 140 pendências em 48h. Controle VALE registra 99 baixadas contra 308 no controle EMPA — divergência sob avaliação.</t>
  </si>
  <si>
    <t xml:space="preserve">RNCs em campo</t>
  </si>
  <si>
    <t xml:space="preserve">65 RNCs totais em tratativa de campo (15 · P1 · sem equipe específica · prev. jul/26 + 20 · P2 + 30 · P3).</t>
  </si>
  <si>
    <t xml:space="preserve">Taxa de refazimento pós reinspeção ≈ 40%</t>
  </si>
  <si>
    <t xml:space="preserve">Alertada a EMPA. Combinado de acompanhar o avanço; caso o percentual se mantenha e coloque em risco o prazo final de setembro, será necessário incrementar as equipes.</t>
  </si>
  <si>
    <t xml:space="preserve">Divergência de baixas · VALE × EMPA</t>
  </si>
  <si>
    <t xml:space="preserve">Controle VALE registra 99 baixadas. EMPA vai solicitar reinspeção de 140 pendências entre hoje e amanhã. Coluna executado usa a informação da EMPA.</t>
  </si>
  <si>
    <t xml:space="preserve">RNCs em campo · 15</t>
  </si>
  <si>
    <t xml:space="preserve">15 RNCs para tratativas em campo, previstas para conclusão em julho, sem equipe específica alocada.</t>
  </si>
  <si>
    <t xml:space="preserve">Marcos contratuais · 15/10/2026</t>
  </si>
  <si>
    <t xml:space="preserve">Hidro (90) e TAC 05 (132) têm marco final até 15/10. Prioridade de execução no cronograma.</t>
  </si>
  <si>
    <t xml:space="preserve">Gap de mobilização de 50%</t>
  </si>
  <si>
    <t xml:space="preserve">30 colaboradores mobilizados × 60 necessários. Composição atual (1 enc + 29 serv) precisa evoluir para 5 equipes de 12 (1 enc + 4 of + 8 serv por equipe).</t>
  </si>
  <si>
    <t xml:space="preserve">Baixo avanço acumulado (7%)</t>
  </si>
  <si>
    <t xml:space="preserve">Apenas 50 de 734 pendências executadas. Mobilização a partir de 15/07 precisa acelerar para reduzir o risco de estouro do marco de encerramento.</t>
  </si>
  <si>
    <t xml:space="preserve">Reinspeção Vale em campo</t>
  </si>
  <si>
    <t xml:space="preserve">Vale está fazendo reinspeção em campo para baixar novas pendências — números podem sofrer ajuste.</t>
  </si>
  <si>
    <t xml:space="preserve">RNCs em campo · 20</t>
  </si>
  <si>
    <t xml:space="preserve">20 RNCs para tratativas em campo.</t>
  </si>
  <si>
    <t xml:space="preserve">Gap de mobilização de 25%</t>
  </si>
  <si>
    <t xml:space="preserve">36 colaboradores mobilizados × 48 necessários. Faltam 12 colaboradores (equivalente a 1 equipe adicional) para atingir o dimensionamento ideal.</t>
  </si>
  <si>
    <t xml:space="preserve">Baixo avanço acumulado (9%)</t>
  </si>
  <si>
    <t xml:space="preserve">Apenas 56 de 595 pendências executadas. Necessário aceleração para reduzir risco no encerramento.</t>
  </si>
  <si>
    <t xml:space="preserve">RNCs em campo · 30</t>
  </si>
  <si>
    <t xml:space="preserve">Aproximadamente 30 RNCs para tratativas em campo — maior volume entre os três pacotes.</t>
  </si>
  <si>
    <t xml:space="preserve">Estrutura em 2 frentes</t>
  </si>
  <si>
    <t xml:space="preserve">Operação estruturada em 2 equipes (18 serventes + 1 encarregado cada) — ampliar para 4 frentes exige nova frente com 1 encarregado + 4 oficiais + 8 serventes.</t>
  </si>
  <si>
    <t xml:space="preserve">CHAVE</t>
  </si>
  <si>
    <t xml:space="preserve">VALOR</t>
  </si>
  <si>
    <t xml:space="preserve">Painel de Pendências FICO Infra — Encerramento de Obra</t>
  </si>
  <si>
    <t xml:space="preserve">SUBTITULO</t>
  </si>
  <si>
    <t xml:space="preserve">Ferrovia de Integração Centro-Oeste · EF-354 · KM 0–104+500 · Pacotes 01, 02 e 03</t>
  </si>
  <si>
    <t xml:space="preserve">DATA_REFERENCIA</t>
  </si>
  <si>
    <t xml:space="preserve">04 / 07 / 2026</t>
  </si>
  <si>
    <t xml:space="preserve">CADENCIA</t>
  </si>
  <si>
    <t xml:space="preserve">Atualização semanal</t>
  </si>
  <si>
    <t xml:space="preserve">PREMISSA</t>
  </si>
  <si>
    <t xml:space="preserve">1 equipe com 12 colaboradores (1 encarregado + 4 oficiais + 8 serventes) executa em média 2 pendências/dia — base histórica EMPA.</t>
  </si>
  <si>
    <t xml:space="preserve">MARCO_FINAL</t>
  </si>
  <si>
    <t xml:space="preserve">15/10/2026 — Hidro e TAC 05 (Pacote 01)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</si>
</sst>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42A4C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1"/>
      <color rgb="FF142A4C"/>
      <name val="Arial"/>
      <family val="0"/>
      <charset val="1"/>
    </font>
    <font>
      <b val="true"/>
      <sz val="11"/>
      <color rgb="FFF89B3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42A4C"/>
        <bgColor rgb="FF333333"/>
      </patternFill>
    </fill>
    <fill>
      <patternFill patternType="solid">
        <fgColor rgb="FFD14545"/>
        <bgColor rgb="FF993366"/>
      </patternFill>
    </fill>
    <fill>
      <patternFill patternType="solid">
        <fgColor rgb="FFF4C430"/>
        <bgColor rgb="FFF89B32"/>
      </patternFill>
    </fill>
    <fill>
      <patternFill patternType="solid">
        <fgColor rgb="FF3578BC"/>
        <bgColor rgb="FF666699"/>
      </patternFill>
    </fill>
    <fill>
      <patternFill patternType="solid">
        <fgColor rgb="FFF4F6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1E6EE"/>
      </left>
      <right style="thin">
        <color rgb="FFE1E6EE"/>
      </right>
      <top style="thin">
        <color rgb="FFE1E6EE"/>
      </top>
      <bottom style="thin">
        <color rgb="FFE1E6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D14545"/>
      <rgbColor rgb="FFF4F6F9"/>
      <rgbColor rgb="FFE1E6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578BC"/>
      <rgbColor rgb="FF33CCCC"/>
      <rgbColor rgb="FF99CC00"/>
      <rgbColor rgb="FFF4C430"/>
      <rgbColor rgb="FFF89B32"/>
      <rgbColor rgb="FFFF6600"/>
      <rgbColor rgb="FF666699"/>
      <rgbColor rgb="FF969696"/>
      <rgbColor rgb="FF142A4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5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/>
    </row>
    <row r="4" customFormat="false" ht="15" hidden="false" customHeight="false" outlineLevel="0" collapsed="false">
      <c r="B4" s="3" t="s">
        <v>1</v>
      </c>
    </row>
    <row r="5" customFormat="false" ht="15" hidden="false" customHeight="false" outlineLevel="0" collapsed="false">
      <c r="B5" s="2"/>
    </row>
    <row r="6" customFormat="false" ht="15" hidden="false" customHeight="false" outlineLevel="0" collapsed="false">
      <c r="B6" s="3" t="s">
        <v>2</v>
      </c>
    </row>
    <row r="7" customFormat="false" ht="15" hidden="false" customHeight="false" outlineLevel="0" collapsed="false">
      <c r="B7" s="2" t="s">
        <v>3</v>
      </c>
    </row>
    <row r="8" customFormat="false" ht="15" hidden="false" customHeight="false" outlineLevel="0" collapsed="false">
      <c r="B8" s="2" t="s">
        <v>4</v>
      </c>
    </row>
    <row r="9" customFormat="false" ht="15" hidden="false" customHeight="false" outlineLevel="0" collapsed="false">
      <c r="B9" s="2" t="s">
        <v>5</v>
      </c>
    </row>
    <row r="10" customFormat="false" ht="15" hidden="false" customHeight="false" outlineLevel="0" collapsed="false">
      <c r="B10" s="2" t="s">
        <v>6</v>
      </c>
    </row>
    <row r="11" customFormat="false" ht="15" hidden="false" customHeight="false" outlineLevel="0" collapsed="false">
      <c r="B11" s="2"/>
    </row>
    <row r="12" customFormat="false" ht="15" hidden="false" customHeight="false" outlineLevel="0" collapsed="false">
      <c r="B12" s="3" t="s">
        <v>7</v>
      </c>
    </row>
    <row r="13" customFormat="false" ht="15" hidden="false" customHeight="false" outlineLevel="0" collapsed="false">
      <c r="B13" s="2" t="s">
        <v>8</v>
      </c>
    </row>
    <row r="14" customFormat="false" ht="15" hidden="false" customHeight="false" outlineLevel="0" collapsed="false">
      <c r="B14" s="2" t="s">
        <v>9</v>
      </c>
    </row>
    <row r="15" customFormat="false" ht="15" hidden="false" customHeight="false" outlineLevel="0" collapsed="false">
      <c r="B15" s="2" t="s">
        <v>10</v>
      </c>
    </row>
    <row r="16" customFormat="false" ht="15" hidden="false" customHeight="false" outlineLevel="0" collapsed="false">
      <c r="B16" s="2" t="s">
        <v>11</v>
      </c>
    </row>
    <row r="17" customFormat="false" ht="15" hidden="false" customHeight="false" outlineLevel="0" collapsed="false">
      <c r="B17" s="2" t="s">
        <v>12</v>
      </c>
    </row>
    <row r="18" customFormat="false" ht="15" hidden="false" customHeight="false" outlineLevel="0" collapsed="false">
      <c r="B18" s="2"/>
    </row>
    <row r="19" customFormat="false" ht="15" hidden="false" customHeight="false" outlineLevel="0" collapsed="false">
      <c r="B19" s="4" t="s">
        <v>13</v>
      </c>
    </row>
    <row r="20" customFormat="false" ht="15" hidden="false" customHeight="false" outlineLevel="0" collapsed="false">
      <c r="B20" s="2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13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9" min="8" style="0" width="12"/>
    <col collapsed="false" customWidth="true" hidden="false" outlineLevel="0" max="10" min="10" style="0" width="9"/>
    <col collapsed="false" customWidth="true" hidden="false" outlineLevel="0" max="11" min="11" style="0" width="17"/>
    <col collapsed="false" customWidth="true" hidden="false" outlineLevel="0" max="12" min="12" style="0" width="7"/>
    <col collapsed="false" customWidth="true" hidden="false" outlineLevel="0" max="13" min="13" style="0" width="13"/>
    <col collapsed="false" customWidth="true" hidden="false" outlineLevel="0" max="14" min="14" style="0" width="20"/>
    <col collapsed="false" customWidth="true" hidden="false" outlineLevel="0" max="15" min="15" style="0" width="14"/>
    <col collapsed="false" customWidth="true" hidden="false" outlineLevel="0" max="16" min="16" style="0" width="55"/>
  </cols>
  <sheetData>
    <row r="1" customFormat="false" ht="26.85" hidden="false" customHeight="false" outlineLevel="0" collapsed="false">
      <c r="A1" s="5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5" t="s">
        <v>21</v>
      </c>
      <c r="H1" s="5" t="s">
        <v>22</v>
      </c>
      <c r="I1" s="5" t="s">
        <v>23</v>
      </c>
      <c r="J1" s="5" t="s">
        <v>24</v>
      </c>
      <c r="K1" s="5" t="s">
        <v>25</v>
      </c>
      <c r="L1" s="5" t="s">
        <v>26</v>
      </c>
      <c r="M1" s="5" t="s">
        <v>27</v>
      </c>
      <c r="N1" s="5" t="s">
        <v>28</v>
      </c>
      <c r="O1" s="5" t="s">
        <v>29</v>
      </c>
      <c r="P1" s="5" t="s">
        <v>30</v>
      </c>
    </row>
    <row r="2" customFormat="false" ht="15" hidden="false" customHeight="false" outlineLevel="0" collapsed="false">
      <c r="A2" s="6" t="s">
        <v>31</v>
      </c>
      <c r="B2" s="7" t="s">
        <v>32</v>
      </c>
      <c r="C2" s="7" t="s">
        <v>33</v>
      </c>
      <c r="D2" s="7" t="s">
        <v>34</v>
      </c>
      <c r="E2" s="8" t="n">
        <v>1</v>
      </c>
      <c r="F2" s="8" t="n">
        <v>4</v>
      </c>
      <c r="G2" s="8" t="n">
        <v>8</v>
      </c>
      <c r="H2" s="9" t="n">
        <v>12</v>
      </c>
      <c r="I2" s="9" t="n">
        <v>12</v>
      </c>
      <c r="J2" s="6" t="n">
        <f aca="false">IF(I2=0,0,ROUND((1-H2/I2)*100,0))</f>
        <v>0</v>
      </c>
      <c r="K2" s="7" t="s">
        <v>35</v>
      </c>
      <c r="L2" s="8" t="n">
        <v>15</v>
      </c>
      <c r="M2" s="8" t="n">
        <v>0</v>
      </c>
      <c r="N2" s="7" t="s">
        <v>36</v>
      </c>
      <c r="O2" s="7" t="s">
        <v>37</v>
      </c>
      <c r="P2" s="7"/>
    </row>
    <row r="3" customFormat="false" ht="23.85" hidden="false" customHeight="false" outlineLevel="0" collapsed="false">
      <c r="A3" s="6" t="s">
        <v>38</v>
      </c>
      <c r="B3" s="7" t="s">
        <v>39</v>
      </c>
      <c r="C3" s="7" t="s">
        <v>40</v>
      </c>
      <c r="D3" s="7" t="s">
        <v>41</v>
      </c>
      <c r="E3" s="8" t="n">
        <v>1</v>
      </c>
      <c r="F3" s="8" t="n">
        <v>0</v>
      </c>
      <c r="G3" s="8" t="n">
        <v>29</v>
      </c>
      <c r="H3" s="9" t="n">
        <v>30</v>
      </c>
      <c r="I3" s="9" t="n">
        <v>60</v>
      </c>
      <c r="J3" s="6" t="n">
        <f aca="false">IF(I3=0,0,ROUND((1-H3/I3)*100,0))</f>
        <v>50</v>
      </c>
      <c r="K3" s="7" t="s">
        <v>42</v>
      </c>
      <c r="L3" s="8" t="n">
        <v>20</v>
      </c>
      <c r="M3" s="8" t="n">
        <v>2</v>
      </c>
      <c r="N3" s="7" t="s">
        <v>43</v>
      </c>
      <c r="O3" s="7" t="s">
        <v>44</v>
      </c>
      <c r="P3" s="7" t="s">
        <v>45</v>
      </c>
    </row>
    <row r="4" customFormat="false" ht="15" hidden="false" customHeight="false" outlineLevel="0" collapsed="false">
      <c r="A4" s="6" t="s">
        <v>46</v>
      </c>
      <c r="B4" s="7" t="s">
        <v>47</v>
      </c>
      <c r="C4" s="7" t="s">
        <v>48</v>
      </c>
      <c r="D4" s="7" t="s">
        <v>34</v>
      </c>
      <c r="E4" s="8" t="n">
        <v>2</v>
      </c>
      <c r="F4" s="8" t="n">
        <v>0</v>
      </c>
      <c r="G4" s="8" t="n">
        <v>36</v>
      </c>
      <c r="H4" s="9" t="n">
        <v>36</v>
      </c>
      <c r="I4" s="9" t="n">
        <v>48</v>
      </c>
      <c r="J4" s="6" t="n">
        <f aca="false">IF(I4=0,0,ROUND((1-H4/I4)*100,0))</f>
        <v>25</v>
      </c>
      <c r="K4" s="7" t="s">
        <v>49</v>
      </c>
      <c r="L4" s="8" t="n">
        <v>30</v>
      </c>
      <c r="M4" s="8" t="n">
        <v>0</v>
      </c>
      <c r="N4" s="7" t="s">
        <v>50</v>
      </c>
      <c r="O4" s="7" t="s">
        <v>51</v>
      </c>
      <c r="P4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42"/>
  </cols>
  <sheetData>
    <row r="1" customFormat="false" ht="26.85" hidden="false" customHeight="false" outlineLevel="0" collapsed="false">
      <c r="A1" s="5" t="s">
        <v>15</v>
      </c>
      <c r="B1" s="5" t="s">
        <v>16</v>
      </c>
      <c r="C1" s="5" t="s">
        <v>52</v>
      </c>
      <c r="D1" s="5" t="s">
        <v>53</v>
      </c>
      <c r="E1" s="5" t="s">
        <v>54</v>
      </c>
      <c r="F1" s="5" t="s">
        <v>55</v>
      </c>
      <c r="G1" s="5" t="s">
        <v>56</v>
      </c>
    </row>
    <row r="2" customFormat="false" ht="15" hidden="false" customHeight="false" outlineLevel="0" collapsed="false">
      <c r="A2" s="6" t="s">
        <v>31</v>
      </c>
      <c r="B2" s="7" t="s">
        <v>32</v>
      </c>
      <c r="C2" s="7" t="s">
        <v>57</v>
      </c>
      <c r="D2" s="6" t="n">
        <v>94</v>
      </c>
      <c r="E2" s="8" t="n">
        <v>0</v>
      </c>
      <c r="F2" s="10" t="n">
        <f aca="false">D2-E2</f>
        <v>94</v>
      </c>
      <c r="G2" s="7"/>
    </row>
    <row r="3" customFormat="false" ht="15" hidden="false" customHeight="false" outlineLevel="0" collapsed="false">
      <c r="A3" s="6" t="s">
        <v>31</v>
      </c>
      <c r="B3" s="7" t="s">
        <v>32</v>
      </c>
      <c r="C3" s="7" t="s">
        <v>58</v>
      </c>
      <c r="D3" s="6" t="n">
        <v>90</v>
      </c>
      <c r="E3" s="8" t="n">
        <v>0</v>
      </c>
      <c r="F3" s="10" t="n">
        <f aca="false">D3-E3</f>
        <v>90</v>
      </c>
      <c r="G3" s="7" t="s">
        <v>59</v>
      </c>
    </row>
    <row r="4" customFormat="false" ht="15" hidden="false" customHeight="false" outlineLevel="0" collapsed="false">
      <c r="A4" s="6" t="s">
        <v>31</v>
      </c>
      <c r="B4" s="7" t="s">
        <v>32</v>
      </c>
      <c r="C4" s="7" t="s">
        <v>60</v>
      </c>
      <c r="D4" s="6" t="n">
        <v>78</v>
      </c>
      <c r="E4" s="8" t="n">
        <v>0</v>
      </c>
      <c r="F4" s="10" t="n">
        <f aca="false">D4-E4</f>
        <v>78</v>
      </c>
      <c r="G4" s="7" t="s">
        <v>61</v>
      </c>
    </row>
    <row r="5" customFormat="false" ht="15" hidden="false" customHeight="false" outlineLevel="0" collapsed="false">
      <c r="A5" s="6" t="s">
        <v>31</v>
      </c>
      <c r="B5" s="7" t="s">
        <v>32</v>
      </c>
      <c r="C5" s="7" t="s">
        <v>62</v>
      </c>
      <c r="D5" s="6" t="n">
        <v>28</v>
      </c>
      <c r="E5" s="8" t="n">
        <v>0</v>
      </c>
      <c r="F5" s="10" t="n">
        <f aca="false">D5-E5</f>
        <v>28</v>
      </c>
      <c r="G5" s="7" t="s">
        <v>63</v>
      </c>
    </row>
    <row r="6" customFormat="false" ht="15" hidden="false" customHeight="false" outlineLevel="0" collapsed="false">
      <c r="A6" s="6" t="s">
        <v>31</v>
      </c>
      <c r="B6" s="7" t="s">
        <v>32</v>
      </c>
      <c r="C6" s="7" t="s">
        <v>64</v>
      </c>
      <c r="D6" s="6" t="n">
        <v>287</v>
      </c>
      <c r="E6" s="8" t="n">
        <v>155</v>
      </c>
      <c r="F6" s="10" t="n">
        <f aca="false">D6-E6</f>
        <v>132</v>
      </c>
      <c r="G6" s="7" t="s">
        <v>59</v>
      </c>
    </row>
    <row r="7" customFormat="false" ht="15" hidden="false" customHeight="false" outlineLevel="0" collapsed="false">
      <c r="A7" s="6" t="s">
        <v>31</v>
      </c>
      <c r="B7" s="7" t="s">
        <v>32</v>
      </c>
      <c r="C7" s="7" t="s">
        <v>65</v>
      </c>
      <c r="D7" s="6" t="n">
        <v>257</v>
      </c>
      <c r="E7" s="8" t="n">
        <v>153</v>
      </c>
      <c r="F7" s="10" t="n">
        <f aca="false">D7-E7</f>
        <v>104</v>
      </c>
      <c r="G7" s="7"/>
    </row>
    <row r="8" customFormat="false" ht="15" hidden="false" customHeight="false" outlineLevel="0" collapsed="false">
      <c r="A8" s="6" t="s">
        <v>38</v>
      </c>
      <c r="B8" s="7" t="s">
        <v>39</v>
      </c>
      <c r="C8" s="7" t="s">
        <v>57</v>
      </c>
      <c r="D8" s="6" t="n">
        <v>54</v>
      </c>
      <c r="E8" s="8" t="n">
        <v>25</v>
      </c>
      <c r="F8" s="10" t="n">
        <f aca="false">D8-E8</f>
        <v>29</v>
      </c>
      <c r="G8" s="7"/>
    </row>
    <row r="9" customFormat="false" ht="15" hidden="false" customHeight="false" outlineLevel="0" collapsed="false">
      <c r="A9" s="6" t="s">
        <v>38</v>
      </c>
      <c r="B9" s="7" t="s">
        <v>39</v>
      </c>
      <c r="C9" s="7" t="s">
        <v>58</v>
      </c>
      <c r="D9" s="6" t="n">
        <v>40</v>
      </c>
      <c r="E9" s="8" t="n">
        <v>1</v>
      </c>
      <c r="F9" s="10" t="n">
        <f aca="false">D9-E9</f>
        <v>39</v>
      </c>
      <c r="G9" s="7"/>
    </row>
    <row r="10" customFormat="false" ht="15" hidden="false" customHeight="false" outlineLevel="0" collapsed="false">
      <c r="A10" s="6" t="s">
        <v>38</v>
      </c>
      <c r="B10" s="7" t="s">
        <v>39</v>
      </c>
      <c r="C10" s="7" t="s">
        <v>65</v>
      </c>
      <c r="D10" s="6" t="n">
        <v>640</v>
      </c>
      <c r="E10" s="8" t="n">
        <v>24</v>
      </c>
      <c r="F10" s="10" t="n">
        <f aca="false">D10-E10</f>
        <v>616</v>
      </c>
      <c r="G10" s="7" t="s">
        <v>66</v>
      </c>
    </row>
    <row r="11" customFormat="false" ht="15" hidden="false" customHeight="false" outlineLevel="0" collapsed="false">
      <c r="A11" s="6" t="s">
        <v>46</v>
      </c>
      <c r="B11" s="7" t="s">
        <v>47</v>
      </c>
      <c r="C11" s="7" t="s">
        <v>57</v>
      </c>
      <c r="D11" s="6" t="n">
        <v>42</v>
      </c>
      <c r="E11" s="8" t="n">
        <v>3</v>
      </c>
      <c r="F11" s="10" t="n">
        <f aca="false">D11-E11</f>
        <v>39</v>
      </c>
      <c r="G11" s="7"/>
    </row>
    <row r="12" customFormat="false" ht="15" hidden="false" customHeight="false" outlineLevel="0" collapsed="false">
      <c r="A12" s="6" t="s">
        <v>46</v>
      </c>
      <c r="B12" s="7" t="s">
        <v>47</v>
      </c>
      <c r="C12" s="7" t="s">
        <v>58</v>
      </c>
      <c r="D12" s="6" t="n">
        <v>72</v>
      </c>
      <c r="E12" s="8" t="n">
        <v>1</v>
      </c>
      <c r="F12" s="10" t="n">
        <f aca="false">D12-E12</f>
        <v>71</v>
      </c>
      <c r="G12" s="7"/>
    </row>
    <row r="13" customFormat="false" ht="15" hidden="false" customHeight="false" outlineLevel="0" collapsed="false">
      <c r="A13" s="6" t="s">
        <v>46</v>
      </c>
      <c r="B13" s="7" t="s">
        <v>47</v>
      </c>
      <c r="C13" s="7" t="s">
        <v>65</v>
      </c>
      <c r="D13" s="6" t="n">
        <v>481</v>
      </c>
      <c r="E13" s="8" t="n">
        <v>52</v>
      </c>
      <c r="F13" s="10" t="n">
        <f aca="false">D13-E13</f>
        <v>429</v>
      </c>
      <c r="G13" s="7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32"/>
  </cols>
  <sheetData>
    <row r="1" customFormat="false" ht="26.85" hidden="false" customHeight="false" outlineLevel="0" collapsed="false">
      <c r="A1" s="5" t="s">
        <v>15</v>
      </c>
      <c r="B1" s="5" t="s">
        <v>68</v>
      </c>
      <c r="C1" s="5" t="s">
        <v>69</v>
      </c>
      <c r="D1" s="5" t="s">
        <v>70</v>
      </c>
      <c r="E1" s="5" t="s">
        <v>71</v>
      </c>
      <c r="F1" s="5" t="s">
        <v>72</v>
      </c>
      <c r="G1" s="5" t="s">
        <v>23</v>
      </c>
      <c r="H1" s="5" t="s">
        <v>73</v>
      </c>
    </row>
    <row r="2" customFormat="false" ht="15" hidden="false" customHeight="false" outlineLevel="0" collapsed="false">
      <c r="A2" s="6" t="s">
        <v>31</v>
      </c>
      <c r="B2" s="10" t="n">
        <v>1</v>
      </c>
      <c r="C2" s="6" t="s">
        <v>74</v>
      </c>
      <c r="D2" s="6" t="s">
        <v>75</v>
      </c>
      <c r="E2" s="6" t="n">
        <v>12</v>
      </c>
      <c r="F2" s="6" t="s">
        <v>76</v>
      </c>
      <c r="G2" s="6" t="s">
        <v>76</v>
      </c>
      <c r="H2" s="7" t="s">
        <v>77</v>
      </c>
    </row>
    <row r="3" customFormat="false" ht="15" hidden="false" customHeight="false" outlineLevel="0" collapsed="false">
      <c r="A3" s="6" t="s">
        <v>38</v>
      </c>
      <c r="B3" s="10" t="n">
        <v>1</v>
      </c>
      <c r="C3" s="6" t="s">
        <v>78</v>
      </c>
      <c r="D3" s="6" t="s">
        <v>79</v>
      </c>
      <c r="E3" s="6" t="n">
        <v>12</v>
      </c>
      <c r="F3" s="6"/>
      <c r="G3" s="6"/>
      <c r="H3" s="7"/>
    </row>
    <row r="4" customFormat="false" ht="15" hidden="false" customHeight="false" outlineLevel="0" collapsed="false">
      <c r="A4" s="6" t="s">
        <v>38</v>
      </c>
      <c r="B4" s="10" t="n">
        <v>2</v>
      </c>
      <c r="C4" s="6" t="s">
        <v>80</v>
      </c>
      <c r="D4" s="6" t="s">
        <v>81</v>
      </c>
      <c r="E4" s="6" t="n">
        <v>24</v>
      </c>
      <c r="F4" s="6"/>
      <c r="G4" s="6"/>
      <c r="H4" s="7"/>
    </row>
    <row r="5" customFormat="false" ht="15" hidden="false" customHeight="false" outlineLevel="0" collapsed="false">
      <c r="A5" s="6" t="s">
        <v>38</v>
      </c>
      <c r="B5" s="10" t="n">
        <v>3</v>
      </c>
      <c r="C5" s="6" t="s">
        <v>82</v>
      </c>
      <c r="D5" s="6" t="s">
        <v>83</v>
      </c>
      <c r="E5" s="6" t="n">
        <v>36</v>
      </c>
      <c r="F5" s="6" t="s">
        <v>76</v>
      </c>
      <c r="G5" s="6"/>
      <c r="H5" s="7"/>
    </row>
    <row r="6" customFormat="false" ht="15" hidden="false" customHeight="false" outlineLevel="0" collapsed="false">
      <c r="A6" s="6" t="s">
        <v>38</v>
      </c>
      <c r="B6" s="10" t="n">
        <v>4</v>
      </c>
      <c r="C6" s="6" t="s">
        <v>84</v>
      </c>
      <c r="D6" s="6" t="s">
        <v>85</v>
      </c>
      <c r="E6" s="6" t="n">
        <v>48</v>
      </c>
      <c r="F6" s="6"/>
      <c r="G6" s="6"/>
      <c r="H6" s="7"/>
    </row>
    <row r="7" customFormat="false" ht="15" hidden="false" customHeight="false" outlineLevel="0" collapsed="false">
      <c r="A7" s="6" t="s">
        <v>38</v>
      </c>
      <c r="B7" s="10" t="n">
        <v>5</v>
      </c>
      <c r="C7" s="6" t="s">
        <v>79</v>
      </c>
      <c r="D7" s="6" t="s">
        <v>86</v>
      </c>
      <c r="E7" s="6" t="n">
        <v>60</v>
      </c>
      <c r="F7" s="6"/>
      <c r="G7" s="6" t="s">
        <v>76</v>
      </c>
      <c r="H7" s="7"/>
    </row>
    <row r="8" customFormat="false" ht="15" hidden="false" customHeight="false" outlineLevel="0" collapsed="false">
      <c r="A8" s="6" t="s">
        <v>46</v>
      </c>
      <c r="B8" s="10" t="n">
        <v>1</v>
      </c>
      <c r="C8" s="6" t="s">
        <v>87</v>
      </c>
      <c r="D8" s="6" t="s">
        <v>88</v>
      </c>
      <c r="E8" s="6" t="n">
        <v>12</v>
      </c>
      <c r="F8" s="6"/>
      <c r="G8" s="6"/>
      <c r="H8" s="7"/>
    </row>
    <row r="9" customFormat="false" ht="15" hidden="false" customHeight="false" outlineLevel="0" collapsed="false">
      <c r="A9" s="6" t="s">
        <v>46</v>
      </c>
      <c r="B9" s="10" t="n">
        <v>2</v>
      </c>
      <c r="C9" s="6" t="s">
        <v>89</v>
      </c>
      <c r="D9" s="6" t="s">
        <v>90</v>
      </c>
      <c r="E9" s="6" t="n">
        <v>24</v>
      </c>
      <c r="F9" s="6"/>
      <c r="G9" s="6"/>
      <c r="H9" s="7"/>
    </row>
    <row r="10" customFormat="false" ht="15" hidden="false" customHeight="false" outlineLevel="0" collapsed="false">
      <c r="A10" s="6" t="s">
        <v>46</v>
      </c>
      <c r="B10" s="10" t="n">
        <v>3</v>
      </c>
      <c r="C10" s="6" t="s">
        <v>91</v>
      </c>
      <c r="D10" s="6" t="s">
        <v>92</v>
      </c>
      <c r="E10" s="6" t="n">
        <v>36</v>
      </c>
      <c r="F10" s="6" t="s">
        <v>76</v>
      </c>
      <c r="G10" s="6"/>
      <c r="H10" s="7"/>
    </row>
    <row r="11" customFormat="false" ht="15" hidden="false" customHeight="false" outlineLevel="0" collapsed="false">
      <c r="A11" s="6" t="s">
        <v>46</v>
      </c>
      <c r="B11" s="10" t="n">
        <v>4</v>
      </c>
      <c r="C11" s="6" t="s">
        <v>93</v>
      </c>
      <c r="D11" s="6" t="s">
        <v>94</v>
      </c>
      <c r="E11" s="6" t="n">
        <v>48</v>
      </c>
      <c r="F11" s="6"/>
      <c r="G11" s="6" t="s">
        <v>76</v>
      </c>
      <c r="H11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42"/>
    <col collapsed="false" customWidth="true" hidden="false" outlineLevel="0" max="4" min="4" style="0" width="85"/>
  </cols>
  <sheetData>
    <row r="1" customFormat="false" ht="26.85" hidden="false" customHeight="false" outlineLevel="0" collapsed="false">
      <c r="A1" s="5" t="s">
        <v>15</v>
      </c>
      <c r="B1" s="5" t="s">
        <v>52</v>
      </c>
      <c r="C1" s="5" t="s">
        <v>95</v>
      </c>
      <c r="D1" s="5" t="s">
        <v>96</v>
      </c>
    </row>
    <row r="2" customFormat="false" ht="23.85" hidden="false" customHeight="false" outlineLevel="0" collapsed="false">
      <c r="A2" s="10" t="s">
        <v>97</v>
      </c>
      <c r="B2" s="11" t="s">
        <v>98</v>
      </c>
      <c r="C2" s="12" t="s">
        <v>99</v>
      </c>
      <c r="D2" s="7" t="s">
        <v>100</v>
      </c>
    </row>
    <row r="3" customFormat="false" ht="23.85" hidden="false" customHeight="false" outlineLevel="0" collapsed="false">
      <c r="A3" s="10" t="s">
        <v>97</v>
      </c>
      <c r="B3" s="13" t="s">
        <v>101</v>
      </c>
      <c r="C3" s="12" t="s">
        <v>102</v>
      </c>
      <c r="D3" s="7" t="s">
        <v>103</v>
      </c>
    </row>
    <row r="4" customFormat="false" ht="23.85" hidden="false" customHeight="false" outlineLevel="0" collapsed="false">
      <c r="A4" s="10" t="s">
        <v>97</v>
      </c>
      <c r="B4" s="14" t="s">
        <v>104</v>
      </c>
      <c r="C4" s="12" t="s">
        <v>105</v>
      </c>
      <c r="D4" s="7" t="s">
        <v>106</v>
      </c>
    </row>
    <row r="5" customFormat="false" ht="15" hidden="false" customHeight="false" outlineLevel="0" collapsed="false">
      <c r="A5" s="10" t="s">
        <v>97</v>
      </c>
      <c r="B5" s="14" t="s">
        <v>104</v>
      </c>
      <c r="C5" s="12" t="s">
        <v>107</v>
      </c>
      <c r="D5" s="7" t="s">
        <v>108</v>
      </c>
    </row>
    <row r="6" customFormat="false" ht="23.85" hidden="false" customHeight="false" outlineLevel="0" collapsed="false">
      <c r="A6" s="10" t="s">
        <v>31</v>
      </c>
      <c r="B6" s="13" t="s">
        <v>101</v>
      </c>
      <c r="C6" s="12" t="s">
        <v>109</v>
      </c>
      <c r="D6" s="7" t="s">
        <v>110</v>
      </c>
    </row>
    <row r="7" customFormat="false" ht="23.85" hidden="false" customHeight="false" outlineLevel="0" collapsed="false">
      <c r="A7" s="10" t="s">
        <v>31</v>
      </c>
      <c r="B7" s="14" t="s">
        <v>104</v>
      </c>
      <c r="C7" s="12" t="s">
        <v>111</v>
      </c>
      <c r="D7" s="7" t="s">
        <v>112</v>
      </c>
    </row>
    <row r="8" customFormat="false" ht="15" hidden="false" customHeight="false" outlineLevel="0" collapsed="false">
      <c r="A8" s="10" t="s">
        <v>31</v>
      </c>
      <c r="B8" s="11" t="s">
        <v>98</v>
      </c>
      <c r="C8" s="12" t="s">
        <v>113</v>
      </c>
      <c r="D8" s="7" t="s">
        <v>114</v>
      </c>
    </row>
    <row r="9" customFormat="false" ht="15" hidden="false" customHeight="false" outlineLevel="0" collapsed="false">
      <c r="A9" s="10" t="s">
        <v>31</v>
      </c>
      <c r="B9" s="14" t="s">
        <v>104</v>
      </c>
      <c r="C9" s="12" t="s">
        <v>115</v>
      </c>
      <c r="D9" s="7" t="s">
        <v>116</v>
      </c>
    </row>
    <row r="10" customFormat="false" ht="23.85" hidden="false" customHeight="false" outlineLevel="0" collapsed="false">
      <c r="A10" s="10" t="s">
        <v>38</v>
      </c>
      <c r="B10" s="11" t="s">
        <v>98</v>
      </c>
      <c r="C10" s="12" t="s">
        <v>117</v>
      </c>
      <c r="D10" s="7" t="s">
        <v>118</v>
      </c>
    </row>
    <row r="11" customFormat="false" ht="23.85" hidden="false" customHeight="false" outlineLevel="0" collapsed="false">
      <c r="A11" s="10" t="s">
        <v>38</v>
      </c>
      <c r="B11" s="13" t="s">
        <v>101</v>
      </c>
      <c r="C11" s="12" t="s">
        <v>119</v>
      </c>
      <c r="D11" s="7" t="s">
        <v>120</v>
      </c>
    </row>
    <row r="12" customFormat="false" ht="15" hidden="false" customHeight="false" outlineLevel="0" collapsed="false">
      <c r="A12" s="10" t="s">
        <v>38</v>
      </c>
      <c r="B12" s="14" t="s">
        <v>104</v>
      </c>
      <c r="C12" s="12" t="s">
        <v>121</v>
      </c>
      <c r="D12" s="7" t="s">
        <v>122</v>
      </c>
    </row>
    <row r="13" customFormat="false" ht="15" hidden="false" customHeight="false" outlineLevel="0" collapsed="false">
      <c r="A13" s="10" t="s">
        <v>38</v>
      </c>
      <c r="B13" s="11" t="s">
        <v>98</v>
      </c>
      <c r="C13" s="12" t="s">
        <v>123</v>
      </c>
      <c r="D13" s="7" t="s">
        <v>124</v>
      </c>
    </row>
    <row r="14" customFormat="false" ht="23.85" hidden="false" customHeight="false" outlineLevel="0" collapsed="false">
      <c r="A14" s="10" t="s">
        <v>46</v>
      </c>
      <c r="B14" s="13" t="s">
        <v>101</v>
      </c>
      <c r="C14" s="12" t="s">
        <v>125</v>
      </c>
      <c r="D14" s="7" t="s">
        <v>126</v>
      </c>
    </row>
    <row r="15" customFormat="false" ht="15" hidden="false" customHeight="false" outlineLevel="0" collapsed="false">
      <c r="A15" s="10" t="s">
        <v>46</v>
      </c>
      <c r="B15" s="13" t="s">
        <v>101</v>
      </c>
      <c r="C15" s="12" t="s">
        <v>127</v>
      </c>
      <c r="D15" s="7" t="s">
        <v>128</v>
      </c>
    </row>
    <row r="16" customFormat="false" ht="15" hidden="false" customHeight="false" outlineLevel="0" collapsed="false">
      <c r="A16" s="10" t="s">
        <v>46</v>
      </c>
      <c r="B16" s="11" t="s">
        <v>98</v>
      </c>
      <c r="C16" s="12" t="s">
        <v>129</v>
      </c>
      <c r="D16" s="7" t="s">
        <v>130</v>
      </c>
    </row>
    <row r="17" customFormat="false" ht="23.85" hidden="false" customHeight="false" outlineLevel="0" collapsed="false">
      <c r="A17" s="10" t="s">
        <v>46</v>
      </c>
      <c r="B17" s="14" t="s">
        <v>104</v>
      </c>
      <c r="C17" s="12" t="s">
        <v>131</v>
      </c>
      <c r="D17" s="7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5"/>
  </cols>
  <sheetData>
    <row r="1" customFormat="false" ht="15" hidden="false" customHeight="false" outlineLevel="0" collapsed="false">
      <c r="A1" s="5" t="s">
        <v>133</v>
      </c>
      <c r="B1" s="5" t="s">
        <v>134</v>
      </c>
    </row>
    <row r="2" customFormat="false" ht="15" hidden="false" customHeight="false" outlineLevel="0" collapsed="false">
      <c r="A2" s="15" t="s">
        <v>95</v>
      </c>
      <c r="B2" s="7" t="s">
        <v>135</v>
      </c>
    </row>
    <row r="3" customFormat="false" ht="15" hidden="false" customHeight="false" outlineLevel="0" collapsed="false">
      <c r="A3" s="15" t="s">
        <v>136</v>
      </c>
      <c r="B3" s="7" t="s">
        <v>137</v>
      </c>
    </row>
    <row r="4" customFormat="false" ht="15" hidden="false" customHeight="false" outlineLevel="0" collapsed="false">
      <c r="A4" s="15" t="s">
        <v>138</v>
      </c>
      <c r="B4" s="7" t="s">
        <v>139</v>
      </c>
    </row>
    <row r="5" customFormat="false" ht="15" hidden="false" customHeight="false" outlineLevel="0" collapsed="false">
      <c r="A5" s="15" t="s">
        <v>140</v>
      </c>
      <c r="B5" s="7" t="s">
        <v>141</v>
      </c>
    </row>
    <row r="6" customFormat="false" ht="23.85" hidden="false" customHeight="false" outlineLevel="0" collapsed="false">
      <c r="A6" s="15" t="s">
        <v>142</v>
      </c>
      <c r="B6" s="7" t="s">
        <v>143</v>
      </c>
    </row>
    <row r="7" customFormat="false" ht="15" hidden="false" customHeight="false" outlineLevel="0" collapsed="false">
      <c r="A7" s="15" t="s">
        <v>144</v>
      </c>
      <c r="B7" s="7" t="s">
        <v>145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2026-07-04T23:14:05Z</dcterms:created>
  <dc:creator>openpyxl</dc:creator>
  <dc:description/>
  <dc:language>en-US</dc:language>
  <cp:lastModifiedBy/>
  <dcterms:modified xsi:type="dcterms:W3CDTF">2026-07-04T23:14:05Z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