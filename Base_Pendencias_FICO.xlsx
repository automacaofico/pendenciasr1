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alasede\Downloads\"/>
    </mc:Choice>
  </mc:AlternateContent>
  <xr:revisionPtr revIDLastSave="0" documentId="8_{571DECB2-F965-4011-83BF-97733BA689AE}" xr6:coauthVersionLast="47" xr6:coauthVersionMax="47" xr10:uidLastSave="{00000000-0000-0000-0000-000000000000}"/>
  <bookViews>
    <workbookView xWindow="-110" yWindow="-110" windowWidth="19420" windowHeight="11500" tabRatio="500" firstSheet="1" activeTab="2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3" l="1"/>
  <c r="F14" i="3"/>
  <c r="F10" i="3"/>
  <c r="F6" i="3"/>
  <c r="F11" i="3"/>
  <c r="F4" i="3"/>
  <c r="I2" i="2"/>
  <c r="J2" i="2" s="1"/>
  <c r="F13" i="3"/>
  <c r="F12" i="3"/>
  <c r="F8" i="3"/>
  <c r="F7" i="3"/>
  <c r="F3" i="3"/>
  <c r="F2" i="3"/>
  <c r="J4" i="2"/>
  <c r="J3" i="2"/>
  <c r="F9" i="3" l="1"/>
</calcChain>
</file>

<file path=xl/sharedStrings.xml><?xml version="1.0" encoding="utf-8"?>
<sst xmlns="http://schemas.openxmlformats.org/spreadsheetml/2006/main" count="207" uniqueCount="122">
  <si>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</si>
  <si>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</si>
  <si>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</si>
  <si>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</si>
  <si>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</si>
  <si>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</si>
  <si>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</si>
  <si>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</si>
  <si>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</si>
  <si>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</si>
  <si>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</si>
  <si>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</si>
  <si>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</si>
  <si>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</si>
  <si>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</si>
  <si>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</si>
  <si>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</si>
  <si>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</si>
  <si>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</si>
  <si>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</si>
  <si>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</si>
  <si>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</si>
  <si>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</si>
  <si>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</si>
  <si>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</si>
  <si>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</si>
  <si>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</si>
  <si>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</si>
  <si>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</si>
  <si>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</si>
  <si>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</si>
  <si>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</si>
  <si>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</si>
  <si>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</si>
  <si>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</si>
  <si>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</si>
  <si>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</si>
  <si>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</si>
  <si>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</si>
  <si>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</si>
  <si>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</si>
  <si>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</si>
  <si>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</si>
  <si>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</si>
  <si>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</si>
  <si>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</si>
  <si>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</si>
  <si>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</si>
  <si>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</si>
  <si>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</si>
  <si>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</si>
  <si>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</si>
  <si>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</si>
  <si>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</si>
  <si>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</si>
  <si>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</si>
  <si>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</si>
  <si>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</si>
  <si>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</si>
  <si>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</si>
  <si>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</si>
  <si>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</si>
  <si>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</si>
  <si>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</si>
  <si>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</si>
  <si>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</si>
  <si>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</si>
  <si>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</si>
  <si>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</si>
  <si>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</si>
  <si>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</si>
  <si>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</si>
  <si>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</si>
  <si>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</si>
  <si>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</si>
  <si>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</si>
  <si>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</si>
  <si>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</si>
  <si>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</si>
  <si>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</si>
  <si>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</si>
  <si>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</si>
  <si>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</si>
  <si>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</si>
  <si>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</si>
  <si>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</si>
  <si>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</si>
  <si>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</si>
  <si>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</si>
  <si>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</si>
  <si>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</si>
  <si>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</si>
  <si>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</si>
  <si>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</si>
  <si>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</si>
  <si>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</si>
  <si>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</si>
  <si>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</si>
  <si>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</si>
  <si>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</si>
  <si>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</si>
  <si>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</si>
  <si>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</si>
  <si>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</si>
  <si>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</si>
  <si>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</si>
  <si>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</si>
  <si>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</si>
  <si>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</si>
  <si>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</si>
  <si>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</si>
  <si>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</si>
  <si>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</si>
  <si>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</si>
  <si>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</si>
  <si>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</si>
  <si>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</si>
  <si>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</si>
  <si>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15/10/2026 — Hidro e TAC 05 (Pacote 01)</t>
  </si>
  <si>
    <t>Não será realizado pela EMPA</t>
  </si>
  <si>
    <t>Marco final - 30/09/26</t>
  </si>
  <si>
    <t xml:space="preserve">11/08/2026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</si>
</sst>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family val="2"/>
    </font>
    <font>
      <sz val="10"/>
      <color rgb="FF333333"/>
      <name val="Arial"/>
      <family val="2"/>
    </font>
    <font>
      <b/>
      <sz val="11"/>
      <color rgb="FF142A4C"/>
      <name val="Arial"/>
      <family val="2"/>
    </font>
    <font>
      <b/>
      <sz val="11"/>
      <color rgb="FFF89B3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>
      <selection activeCell="B7" sqref="B7"/>
    </sheetView>
  </sheetViews>
  <sheetFormatPr defaultColWidth="8.7265625" defaultRowHeight="14.5" x14ac:dyDescent="0.35"/>
  <cols>
    <col min="1" max="1" width="2" customWidth="1"/>
    <col min="2" max="2" width="115" customWidth="1"/>
  </cols>
  <sheetData>
    <row r="2" spans="2:2" ht="20" x14ac:dyDescent="0.4">
      <c r="B2" s="1" t="s">
        <v>0</v>
      </c>
    </row>
    <row r="3" spans="2:2" x14ac:dyDescent="0.35">
      <c r="B3" s="2"/>
    </row>
    <row r="4" spans="2:2" x14ac:dyDescent="0.35">
      <c r="B4" s="3" t="s">
        <v>1</v>
      </c>
    </row>
    <row r="5" spans="2:2" x14ac:dyDescent="0.35">
      <c r="B5" s="2"/>
    </row>
    <row r="6" spans="2:2" x14ac:dyDescent="0.35">
      <c r="B6" s="3" t="s">
        <v>2</v>
      </c>
    </row>
    <row r="7" spans="2:2" x14ac:dyDescent="0.35">
      <c r="B7" s="2" t="s">
        <v>3</v>
      </c>
    </row>
    <row r="8" spans="2:2" x14ac:dyDescent="0.35">
      <c r="B8" s="2" t="s">
        <v>4</v>
      </c>
    </row>
    <row r="9" spans="2:2" x14ac:dyDescent="0.35">
      <c r="B9" s="2" t="s">
        <v>5</v>
      </c>
    </row>
    <row r="10" spans="2:2" x14ac:dyDescent="0.35">
      <c r="B10" s="2" t="s">
        <v>6</v>
      </c>
    </row>
    <row r="11" spans="2:2" x14ac:dyDescent="0.35">
      <c r="B11" s="2"/>
    </row>
    <row r="12" spans="2:2" x14ac:dyDescent="0.35">
      <c r="B12" s="3" t="s">
        <v>7</v>
      </c>
    </row>
    <row r="13" spans="2:2" x14ac:dyDescent="0.35">
      <c r="B13" s="2" t="s">
        <v>8</v>
      </c>
    </row>
    <row r="14" spans="2:2" x14ac:dyDescent="0.35">
      <c r="B14" s="2" t="s">
        <v>9</v>
      </c>
    </row>
    <row r="15" spans="2:2" x14ac:dyDescent="0.35">
      <c r="B15" s="2" t="s">
        <v>10</v>
      </c>
    </row>
    <row r="16" spans="2:2" x14ac:dyDescent="0.35">
      <c r="B16" s="2" t="s">
        <v>11</v>
      </c>
    </row>
    <row r="17" spans="2:2" x14ac:dyDescent="0.35">
      <c r="B17" s="2" t="s">
        <v>12</v>
      </c>
    </row>
    <row r="18" spans="2:2" x14ac:dyDescent="0.35">
      <c r="B18" s="2"/>
    </row>
    <row r="19" spans="2:2" x14ac:dyDescent="0.35">
      <c r="B19" s="4" t="s">
        <v>13</v>
      </c>
    </row>
    <row r="20" spans="2:2" x14ac:dyDescent="0.3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H4" sqref="H4"/>
    </sheetView>
  </sheetViews>
  <sheetFormatPr defaultColWidth="8.7265625" defaultRowHeight="14.5" x14ac:dyDescent="0.35"/>
  <cols>
    <col min="1" max="1" width="9.26953125" bestFit="1" customWidth="1"/>
    <col min="2" max="2" width="10.54296875" bestFit="1" customWidth="1"/>
    <col min="3" max="3" width="19.54296875" bestFit="1" customWidth="1"/>
    <col min="4" max="4" width="19.1796875" bestFit="1" customWidth="1"/>
    <col min="5" max="5" width="18.1796875" bestFit="1" customWidth="1"/>
    <col min="6" max="6" width="9.1796875" bestFit="1" customWidth="1"/>
    <col min="7" max="7" width="13.453125" bestFit="1" customWidth="1"/>
    <col min="8" max="8" width="13" bestFit="1" customWidth="1"/>
    <col min="9" max="9" width="14.1796875" bestFit="1" customWidth="1"/>
    <col min="10" max="10" width="10.453125" bestFit="1" customWidth="1"/>
    <col min="11" max="11" width="15.7265625" bestFit="1" customWidth="1"/>
    <col min="12" max="12" width="5.1796875" bestFit="1" customWidth="1"/>
    <col min="13" max="13" width="17.453125" bestFit="1" customWidth="1"/>
    <col min="14" max="14" width="19.1796875" bestFit="1" customWidth="1"/>
    <col min="15" max="15" width="15.54296875" bestFit="1" customWidth="1"/>
    <col min="16" max="16" width="44.81640625" bestFit="1" customWidth="1"/>
  </cols>
  <sheetData>
    <row r="1" spans="1:16" ht="27" customHeight="1" x14ac:dyDescent="0.3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25" x14ac:dyDescent="0.3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25" x14ac:dyDescent="0.35">
      <c r="A3" s="6" t="s">
        <v>38</v>
      </c>
      <c r="B3" s="7" t="s">
        <v>39</v>
      </c>
      <c r="C3" s="7" t="s">
        <v>40</v>
      </c>
      <c r="D3" s="7" t="s">
        <v>41</v>
      </c>
      <c r="E3" s="8">
        <v>1</v>
      </c>
      <c r="F3" s="8">
        <v>0</v>
      </c>
      <c r="G3" s="8">
        <v>29</v>
      </c>
      <c r="H3" s="9">
        <v>11</v>
      </c>
      <c r="I3" s="9">
        <v>60</v>
      </c>
      <c r="J3" s="6">
        <f>IF(I3=0,0,ROUND((1-H3/I3)*100,0))</f>
        <v>82</v>
      </c>
      <c r="K3" s="7" t="s">
        <v>35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25" x14ac:dyDescent="0.3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tabSelected="1" zoomScale="115" zoomScaleNormal="115" workbookViewId="0">
      <selection activeCell="E15" sqref="E15"/>
    </sheetView>
  </sheetViews>
  <sheetFormatPr defaultColWidth="8.7265625" defaultRowHeight="14.5" x14ac:dyDescent="0.35"/>
  <cols>
    <col min="1" max="1" width="10.1796875" bestFit="1" customWidth="1"/>
    <col min="2" max="2" width="11.7265625" bestFit="1" customWidth="1"/>
    <col min="3" max="3" width="14.26953125" bestFit="1" customWidth="1"/>
    <col min="4" max="4" width="8.26953125" bestFit="1" customWidth="1"/>
    <col min="5" max="5" width="14.54296875" bestFit="1" customWidth="1"/>
    <col min="6" max="6" width="12.81640625" bestFit="1" customWidth="1"/>
    <col min="7" max="7" width="32.26953125" bestFit="1" customWidth="1"/>
  </cols>
  <sheetData>
    <row r="1" spans="1:7" x14ac:dyDescent="0.3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35">
      <c r="A2" s="6" t="s">
        <v>31</v>
      </c>
      <c r="B2" s="7" t="s">
        <v>32</v>
      </c>
      <c r="C2" s="7" t="s">
        <v>56</v>
      </c>
      <c r="D2" s="6">
        <v>84</v>
      </c>
      <c r="E2" s="8">
        <v>46</v>
      </c>
      <c r="F2" s="10">
        <f t="shared" ref="F2:F13" si="0">D2-E2</f>
        <v>38</v>
      </c>
      <c r="G2" s="7"/>
    </row>
    <row r="3" spans="1:7" x14ac:dyDescent="0.35">
      <c r="A3" s="6" t="s">
        <v>31</v>
      </c>
      <c r="B3" s="7" t="s">
        <v>32</v>
      </c>
      <c r="C3" s="7" t="s">
        <v>57</v>
      </c>
      <c r="D3" s="6">
        <v>78</v>
      </c>
      <c r="E3" s="8">
        <v>6</v>
      </c>
      <c r="F3" s="10">
        <f t="shared" si="0"/>
        <v>72</v>
      </c>
      <c r="G3" s="7" t="s">
        <v>119</v>
      </c>
    </row>
    <row r="4" spans="1:7" x14ac:dyDescent="0.35">
      <c r="A4" s="6" t="s">
        <v>31</v>
      </c>
      <c r="B4" s="7" t="s">
        <v>32</v>
      </c>
      <c r="C4" s="7" t="s">
        <v>59</v>
      </c>
      <c r="D4" s="6">
        <v>659</v>
      </c>
      <c r="E4" s="8">
        <v>340</v>
      </c>
      <c r="F4" s="10">
        <f t="shared" si="0"/>
        <v>319</v>
      </c>
      <c r="G4" s="7" t="s">
        <v>120</v>
      </c>
    </row>
    <row r="5" spans="1:7" x14ac:dyDescent="0.35">
      <c r="A5" s="6" t="s">
        <v>31</v>
      </c>
      <c r="B5" s="7" t="s">
        <v>58</v>
      </c>
      <c r="C5" s="7" t="s">
        <v>57</v>
      </c>
      <c r="D5" s="6">
        <v>13</v>
      </c>
      <c r="E5" s="8">
        <v>0</v>
      </c>
      <c r="F5" s="10">
        <f t="shared" si="0"/>
        <v>13</v>
      </c>
      <c r="G5" s="7"/>
    </row>
    <row r="6" spans="1:7" x14ac:dyDescent="0.35">
      <c r="A6" s="6" t="s">
        <v>31</v>
      </c>
      <c r="B6" s="7" t="s">
        <v>58</v>
      </c>
      <c r="C6" s="7" t="s">
        <v>59</v>
      </c>
      <c r="D6" s="6">
        <v>88</v>
      </c>
      <c r="E6" s="8">
        <v>1</v>
      </c>
      <c r="F6" s="10">
        <f t="shared" ref="F6" si="1">D6-E6</f>
        <v>87</v>
      </c>
      <c r="G6" s="7"/>
    </row>
    <row r="7" spans="1:7" x14ac:dyDescent="0.35">
      <c r="A7" s="6" t="s">
        <v>38</v>
      </c>
      <c r="B7" s="7" t="s">
        <v>39</v>
      </c>
      <c r="C7" s="7" t="s">
        <v>56</v>
      </c>
      <c r="D7" s="6">
        <v>53</v>
      </c>
      <c r="E7" s="8">
        <v>25</v>
      </c>
      <c r="F7" s="10">
        <f t="shared" si="0"/>
        <v>28</v>
      </c>
      <c r="G7" s="7"/>
    </row>
    <row r="8" spans="1:7" x14ac:dyDescent="0.35">
      <c r="A8" s="6" t="s">
        <v>38</v>
      </c>
      <c r="B8" s="7" t="s">
        <v>39</v>
      </c>
      <c r="C8" s="7" t="s">
        <v>57</v>
      </c>
      <c r="D8" s="6">
        <v>40</v>
      </c>
      <c r="E8" s="8">
        <v>3</v>
      </c>
      <c r="F8" s="10">
        <f t="shared" si="0"/>
        <v>37</v>
      </c>
      <c r="G8" s="7"/>
    </row>
    <row r="9" spans="1:7" x14ac:dyDescent="0.35">
      <c r="A9" s="6" t="s">
        <v>38</v>
      </c>
      <c r="B9" s="7" t="s">
        <v>39</v>
      </c>
      <c r="C9" s="7" t="s">
        <v>59</v>
      </c>
      <c r="D9" s="6">
        <v>630</v>
      </c>
      <c r="E9" s="8">
        <v>191</v>
      </c>
      <c r="F9" s="10">
        <f t="shared" si="0"/>
        <v>439</v>
      </c>
      <c r="G9" s="7" t="s">
        <v>60</v>
      </c>
    </row>
    <row r="10" spans="1:7" x14ac:dyDescent="0.35">
      <c r="A10" s="6" t="s">
        <v>38</v>
      </c>
      <c r="B10" s="7" t="s">
        <v>58</v>
      </c>
      <c r="C10" s="7" t="s">
        <v>59</v>
      </c>
      <c r="D10" s="6">
        <v>8</v>
      </c>
      <c r="E10" s="8">
        <v>0</v>
      </c>
      <c r="F10" s="10">
        <f t="shared" si="0"/>
        <v>8</v>
      </c>
      <c r="G10" s="7"/>
    </row>
    <row r="11" spans="1:7" x14ac:dyDescent="0.35">
      <c r="A11" s="6" t="s">
        <v>45</v>
      </c>
      <c r="B11" s="7" t="s">
        <v>46</v>
      </c>
      <c r="C11" s="7" t="s">
        <v>56</v>
      </c>
      <c r="D11" s="6">
        <v>46</v>
      </c>
      <c r="E11" s="8">
        <v>5</v>
      </c>
      <c r="F11" s="10">
        <f t="shared" si="0"/>
        <v>41</v>
      </c>
      <c r="G11" s="7"/>
    </row>
    <row r="12" spans="1:7" x14ac:dyDescent="0.35">
      <c r="A12" s="6" t="s">
        <v>45</v>
      </c>
      <c r="B12" s="7" t="s">
        <v>46</v>
      </c>
      <c r="C12" s="7" t="s">
        <v>57</v>
      </c>
      <c r="D12" s="6">
        <v>100</v>
      </c>
      <c r="E12" s="8">
        <v>8</v>
      </c>
      <c r="F12" s="10">
        <f t="shared" si="0"/>
        <v>92</v>
      </c>
      <c r="G12" s="7"/>
    </row>
    <row r="13" spans="1:7" x14ac:dyDescent="0.35">
      <c r="A13" s="6" t="s">
        <v>45</v>
      </c>
      <c r="B13" s="7" t="s">
        <v>46</v>
      </c>
      <c r="C13" s="7" t="s">
        <v>59</v>
      </c>
      <c r="D13" s="6">
        <v>819</v>
      </c>
      <c r="E13" s="8">
        <v>211</v>
      </c>
      <c r="F13" s="10">
        <f t="shared" si="0"/>
        <v>608</v>
      </c>
      <c r="G13" s="7" t="s">
        <v>61</v>
      </c>
    </row>
    <row r="14" spans="1:7" x14ac:dyDescent="0.35">
      <c r="A14" s="6" t="s">
        <v>45</v>
      </c>
      <c r="B14" s="7" t="s">
        <v>58</v>
      </c>
      <c r="C14" s="7" t="s">
        <v>59</v>
      </c>
      <c r="D14" s="6">
        <v>14</v>
      </c>
      <c r="E14" s="8">
        <v>0</v>
      </c>
      <c r="F14" s="10">
        <f t="shared" ref="F14" si="2">D14-E14</f>
        <v>14</v>
      </c>
      <c r="G1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Normal="100" workbookViewId="0">
      <selection activeCell="I9" sqref="I9"/>
    </sheetView>
  </sheetViews>
  <sheetFormatPr defaultColWidth="8.7265625" defaultRowHeight="14.5" x14ac:dyDescent="0.35"/>
  <cols>
    <col min="1" max="1" width="9.26953125" bestFit="1" customWidth="1"/>
    <col min="2" max="2" width="12.26953125" bestFit="1" customWidth="1"/>
    <col min="3" max="3" width="16.1796875" bestFit="1" customWidth="1"/>
    <col min="4" max="4" width="11.453125" bestFit="1" customWidth="1"/>
    <col min="5" max="5" width="19.54296875" bestFit="1" customWidth="1"/>
    <col min="6" max="6" width="7.54296875" bestFit="1" customWidth="1"/>
    <col min="7" max="7" width="14.1796875" bestFit="1" customWidth="1"/>
    <col min="8" max="8" width="6.54296875" bestFit="1" customWidth="1"/>
  </cols>
  <sheetData>
    <row r="1" spans="1:8" x14ac:dyDescent="0.35">
      <c r="A1" s="5" t="s">
        <v>15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23</v>
      </c>
      <c r="H1" s="5" t="s">
        <v>67</v>
      </c>
    </row>
    <row r="2" spans="1:8" x14ac:dyDescent="0.35">
      <c r="A2" s="6" t="s">
        <v>31</v>
      </c>
      <c r="B2" s="10">
        <v>1</v>
      </c>
      <c r="C2" s="16">
        <v>5.4285714285714288</v>
      </c>
      <c r="D2" s="16">
        <v>1.075</v>
      </c>
      <c r="E2" s="16">
        <v>1.0857142857142859</v>
      </c>
      <c r="F2" s="6" t="s">
        <v>68</v>
      </c>
      <c r="G2" s="6"/>
      <c r="H2" s="7"/>
    </row>
    <row r="3" spans="1:8" x14ac:dyDescent="0.35">
      <c r="A3" s="6" t="s">
        <v>31</v>
      </c>
      <c r="B3" s="10">
        <v>2</v>
      </c>
      <c r="C3" s="16">
        <v>10.285714285714286</v>
      </c>
      <c r="D3" s="16">
        <v>2.5249999999999999</v>
      </c>
      <c r="E3" s="16">
        <v>2.0571428571428574</v>
      </c>
      <c r="F3" s="6"/>
      <c r="G3" s="6"/>
      <c r="H3" s="7"/>
    </row>
    <row r="4" spans="1:8" x14ac:dyDescent="0.35">
      <c r="A4" s="6" t="s">
        <v>31</v>
      </c>
      <c r="B4" s="10">
        <v>3</v>
      </c>
      <c r="C4" s="16">
        <v>45.571428571428569</v>
      </c>
      <c r="D4" s="16">
        <v>2.5</v>
      </c>
      <c r="E4" s="16">
        <v>9.1142857142857139</v>
      </c>
      <c r="F4" s="6"/>
      <c r="G4" s="6" t="s">
        <v>68</v>
      </c>
      <c r="H4" s="7"/>
    </row>
    <row r="5" spans="1:8" x14ac:dyDescent="0.35">
      <c r="A5" s="6" t="s">
        <v>31</v>
      </c>
      <c r="B5" s="10">
        <v>1</v>
      </c>
      <c r="C5" s="16">
        <v>1.8571428571428572</v>
      </c>
      <c r="D5" s="16">
        <v>1.2</v>
      </c>
      <c r="E5" s="16">
        <v>0.37142857142857144</v>
      </c>
      <c r="F5" s="6"/>
      <c r="G5" s="6"/>
      <c r="H5" s="7"/>
    </row>
    <row r="6" spans="1:8" x14ac:dyDescent="0.35">
      <c r="A6" s="6" t="s">
        <v>38</v>
      </c>
      <c r="B6" s="10">
        <v>2</v>
      </c>
      <c r="C6" s="16">
        <v>12.428571428571429</v>
      </c>
      <c r="D6" s="16">
        <v>0.7</v>
      </c>
      <c r="E6" s="16">
        <v>2.4857142857142858</v>
      </c>
      <c r="F6" s="6"/>
      <c r="G6" s="6"/>
      <c r="H6" s="7"/>
    </row>
    <row r="7" spans="1:8" x14ac:dyDescent="0.35">
      <c r="A7" s="6" t="s">
        <v>38</v>
      </c>
      <c r="B7" s="10">
        <v>3</v>
      </c>
      <c r="C7" s="16">
        <v>4</v>
      </c>
      <c r="D7" s="16">
        <v>0.92500000000000004</v>
      </c>
      <c r="E7" s="16">
        <v>0.8</v>
      </c>
      <c r="F7" s="6" t="s">
        <v>68</v>
      </c>
      <c r="G7" s="6"/>
      <c r="H7" s="7"/>
    </row>
    <row r="8" spans="1:8" x14ac:dyDescent="0.35">
      <c r="A8" s="6" t="s">
        <v>38</v>
      </c>
      <c r="B8" s="10">
        <v>4</v>
      </c>
      <c r="C8" s="16">
        <v>5.2857142857142856</v>
      </c>
      <c r="D8" s="16">
        <v>2.2749999999999999</v>
      </c>
      <c r="E8" s="16">
        <v>1.0571428571428572</v>
      </c>
      <c r="F8" s="6"/>
      <c r="G8" s="6"/>
      <c r="H8" s="7"/>
    </row>
    <row r="9" spans="1:8" x14ac:dyDescent="0.35">
      <c r="A9" s="6" t="s">
        <v>45</v>
      </c>
      <c r="B9" s="10">
        <v>5</v>
      </c>
      <c r="C9" s="16">
        <v>62.714285714285715</v>
      </c>
      <c r="D9" s="16">
        <v>0.77500000000000002</v>
      </c>
      <c r="E9" s="16">
        <v>12.542857142857143</v>
      </c>
      <c r="F9" s="6"/>
      <c r="G9" s="6" t="s">
        <v>68</v>
      </c>
      <c r="H9" s="7"/>
    </row>
    <row r="10" spans="1:8" x14ac:dyDescent="0.35">
      <c r="A10" s="6" t="s">
        <v>45</v>
      </c>
      <c r="B10" s="10">
        <v>1</v>
      </c>
      <c r="C10" s="16">
        <v>1.1428571428571428</v>
      </c>
      <c r="D10" s="16">
        <v>1.2</v>
      </c>
      <c r="E10" s="16">
        <v>0.22857142857142856</v>
      </c>
      <c r="F10" s="6"/>
      <c r="G10" s="6"/>
      <c r="H10" s="7"/>
    </row>
    <row r="11" spans="1:8" x14ac:dyDescent="0.35">
      <c r="A11" s="6" t="s">
        <v>45</v>
      </c>
      <c r="B11" s="10">
        <v>2</v>
      </c>
      <c r="C11" s="16">
        <v>5.8571428571428568</v>
      </c>
      <c r="D11" s="16">
        <v>0.8</v>
      </c>
      <c r="E11" s="16">
        <v>1.1714285714285713</v>
      </c>
      <c r="F11" s="6"/>
      <c r="G11" s="6"/>
      <c r="H11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9.26953125" bestFit="1" customWidth="1"/>
    <col min="2" max="2" width="8.1796875" bestFit="1" customWidth="1"/>
    <col min="3" max="3" width="38.26953125" bestFit="1" customWidth="1"/>
    <col min="4" max="4" width="84.54296875" bestFit="1" customWidth="1"/>
  </cols>
  <sheetData>
    <row r="1" spans="1:4" x14ac:dyDescent="0.35">
      <c r="A1" s="5" t="s">
        <v>15</v>
      </c>
      <c r="B1" s="5" t="s">
        <v>51</v>
      </c>
      <c r="C1" s="5" t="s">
        <v>69</v>
      </c>
      <c r="D1" s="5" t="s">
        <v>70</v>
      </c>
    </row>
    <row r="2" spans="1:4" ht="25" x14ac:dyDescent="0.35">
      <c r="A2" s="10" t="s">
        <v>71</v>
      </c>
      <c r="B2" s="11" t="s">
        <v>72</v>
      </c>
      <c r="C2" s="12" t="s">
        <v>73</v>
      </c>
      <c r="D2" s="7" t="s">
        <v>74</v>
      </c>
    </row>
    <row r="3" spans="1:4" ht="25" x14ac:dyDescent="0.35">
      <c r="A3" s="10" t="s">
        <v>71</v>
      </c>
      <c r="B3" s="13" t="s">
        <v>75</v>
      </c>
      <c r="C3" s="12" t="s">
        <v>76</v>
      </c>
      <c r="D3" s="7" t="s">
        <v>77</v>
      </c>
    </row>
    <row r="4" spans="1:4" ht="25" x14ac:dyDescent="0.35">
      <c r="A4" s="10" t="s">
        <v>71</v>
      </c>
      <c r="B4" s="14" t="s">
        <v>78</v>
      </c>
      <c r="C4" s="12" t="s">
        <v>79</v>
      </c>
      <c r="D4" s="7" t="s">
        <v>80</v>
      </c>
    </row>
    <row r="5" spans="1:4" ht="25" x14ac:dyDescent="0.35">
      <c r="A5" s="10" t="s">
        <v>71</v>
      </c>
      <c r="B5" s="14" t="s">
        <v>78</v>
      </c>
      <c r="C5" s="12" t="s">
        <v>81</v>
      </c>
      <c r="D5" s="7" t="s">
        <v>82</v>
      </c>
    </row>
    <row r="6" spans="1:4" ht="25" x14ac:dyDescent="0.35">
      <c r="A6" s="10" t="s">
        <v>31</v>
      </c>
      <c r="B6" s="13" t="s">
        <v>75</v>
      </c>
      <c r="C6" s="12" t="s">
        <v>83</v>
      </c>
      <c r="D6" s="7" t="s">
        <v>84</v>
      </c>
    </row>
    <row r="7" spans="1:4" ht="25" x14ac:dyDescent="0.35">
      <c r="A7" s="10" t="s">
        <v>31</v>
      </c>
      <c r="B7" s="14" t="s">
        <v>78</v>
      </c>
      <c r="C7" s="12" t="s">
        <v>85</v>
      </c>
      <c r="D7" s="7" t="s">
        <v>86</v>
      </c>
    </row>
    <row r="8" spans="1:4" ht="25" x14ac:dyDescent="0.35">
      <c r="A8" s="10" t="s">
        <v>31</v>
      </c>
      <c r="B8" s="11" t="s">
        <v>72</v>
      </c>
      <c r="C8" s="12" t="s">
        <v>87</v>
      </c>
      <c r="D8" s="7" t="s">
        <v>88</v>
      </c>
    </row>
    <row r="9" spans="1:4" x14ac:dyDescent="0.35">
      <c r="A9" s="10" t="s">
        <v>31</v>
      </c>
      <c r="B9" s="14" t="s">
        <v>78</v>
      </c>
      <c r="C9" s="12" t="s">
        <v>89</v>
      </c>
      <c r="D9" s="7" t="s">
        <v>90</v>
      </c>
    </row>
    <row r="10" spans="1:4" ht="25" x14ac:dyDescent="0.35">
      <c r="A10" s="10" t="s">
        <v>38</v>
      </c>
      <c r="B10" s="11" t="s">
        <v>72</v>
      </c>
      <c r="C10" s="12" t="s">
        <v>91</v>
      </c>
      <c r="D10" s="7" t="s">
        <v>92</v>
      </c>
    </row>
    <row r="11" spans="1:4" ht="25" x14ac:dyDescent="0.35">
      <c r="A11" s="10" t="s">
        <v>38</v>
      </c>
      <c r="B11" s="13" t="s">
        <v>75</v>
      </c>
      <c r="C11" s="12" t="s">
        <v>93</v>
      </c>
      <c r="D11" s="7" t="s">
        <v>94</v>
      </c>
    </row>
    <row r="12" spans="1:4" ht="25" x14ac:dyDescent="0.35">
      <c r="A12" s="10" t="s">
        <v>38</v>
      </c>
      <c r="B12" s="14" t="s">
        <v>78</v>
      </c>
      <c r="C12" s="12" t="s">
        <v>95</v>
      </c>
      <c r="D12" s="7" t="s">
        <v>96</v>
      </c>
    </row>
    <row r="13" spans="1:4" x14ac:dyDescent="0.35">
      <c r="A13" s="10" t="s">
        <v>38</v>
      </c>
      <c r="B13" s="11" t="s">
        <v>72</v>
      </c>
      <c r="C13" s="12" t="s">
        <v>97</v>
      </c>
      <c r="D13" s="7" t="s">
        <v>98</v>
      </c>
    </row>
    <row r="14" spans="1:4" ht="25" x14ac:dyDescent="0.35">
      <c r="A14" s="10" t="s">
        <v>45</v>
      </c>
      <c r="B14" s="13" t="s">
        <v>75</v>
      </c>
      <c r="C14" s="12" t="s">
        <v>99</v>
      </c>
      <c r="D14" s="7" t="s">
        <v>100</v>
      </c>
    </row>
    <row r="15" spans="1:4" ht="25" x14ac:dyDescent="0.35">
      <c r="A15" s="10" t="s">
        <v>45</v>
      </c>
      <c r="B15" s="13" t="s">
        <v>75</v>
      </c>
      <c r="C15" s="12" t="s">
        <v>101</v>
      </c>
      <c r="D15" s="7" t="s">
        <v>102</v>
      </c>
    </row>
    <row r="16" spans="1:4" x14ac:dyDescent="0.35">
      <c r="A16" s="10" t="s">
        <v>45</v>
      </c>
      <c r="B16" s="11" t="s">
        <v>72</v>
      </c>
      <c r="C16" s="12" t="s">
        <v>103</v>
      </c>
      <c r="D16" s="7" t="s">
        <v>104</v>
      </c>
    </row>
    <row r="17" spans="1:4" ht="25" x14ac:dyDescent="0.35">
      <c r="A17" s="10" t="s">
        <v>45</v>
      </c>
      <c r="B17" s="14" t="s">
        <v>78</v>
      </c>
      <c r="C17" s="12" t="s">
        <v>105</v>
      </c>
      <c r="D17" s="7" t="s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zoomScaleNormal="100" workbookViewId="0">
      <selection activeCell="B4" sqref="B4"/>
    </sheetView>
  </sheetViews>
  <sheetFormatPr defaultColWidth="8.7265625" defaultRowHeight="14.5" x14ac:dyDescent="0.35"/>
  <cols>
    <col min="1" max="1" width="22" customWidth="1"/>
    <col min="2" max="2" width="75" customWidth="1"/>
  </cols>
  <sheetData>
    <row r="1" spans="1:2" x14ac:dyDescent="0.35">
      <c r="A1" s="5" t="s">
        <v>107</v>
      </c>
      <c r="B1" s="5" t="s">
        <v>108</v>
      </c>
    </row>
    <row r="2" spans="1:2" x14ac:dyDescent="0.35">
      <c r="A2" s="15" t="s">
        <v>69</v>
      </c>
      <c r="B2" s="7" t="s">
        <v>109</v>
      </c>
    </row>
    <row r="3" spans="1:2" x14ac:dyDescent="0.35">
      <c r="A3" s="15" t="s">
        <v>110</v>
      </c>
      <c r="B3" s="7" t="s">
        <v>111</v>
      </c>
    </row>
    <row r="4" spans="1:2" x14ac:dyDescent="0.35">
      <c r="A4" s="15" t="s">
        <v>112</v>
      </c>
      <c r="B4" s="17" t="s">
        <v>121</v>
      </c>
    </row>
    <row r="5" spans="1:2" x14ac:dyDescent="0.35">
      <c r="A5" s="15" t="s">
        <v>113</v>
      </c>
      <c r="B5" s="7" t="s">
        <v>114</v>
      </c>
    </row>
    <row r="6" spans="1:2" ht="25" x14ac:dyDescent="0.35">
      <c r="A6" s="15" t="s">
        <v>115</v>
      </c>
      <c r="B6" s="7" t="s">
        <v>116</v>
      </c>
    </row>
    <row r="7" spans="1:2" x14ac:dyDescent="0.35">
      <c r="A7" s="15" t="s">
        <v>117</v>
      </c>
      <c r="B7" s="7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1A7D55F60B18408D7825C28E029F51" ma:contentTypeVersion="19" ma:contentTypeDescription="Crie um novo documento." ma:contentTypeScope="" ma:versionID="26245b19684232a249215bac47317027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0b8051d1477f5ab751da8276506a6b46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BCA61A-72EE-4D20-B5D5-B108D9E4C84F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http://schemas.microsoft.com/office/2006/metadata/properties"/>
    <ds:schemaRef ds:uri="442af37a-3796-4d85-82a9-7fed4a3d9bab"/>
    <ds:schemaRef ds:uri="http://purl.org/dc/terms/"/>
    <ds:schemaRef ds:uri="http://schemas.microsoft.com/sharepoint/v3"/>
    <ds:schemaRef ds:uri="http://schemas.openxmlformats.org/package/2006/metadata/core-properties"/>
    <ds:schemaRef ds:uri="b633a64c-250e-4f9b-b03e-91a68bc51404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E3A740B-A3FE-4C50-A000-9FAE2510E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9301C3-A4EA-4724-ABB3-5F8D135D20E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Eder Valasco</cp:lastModifiedBy>
  <cp:revision>0</cp:revision>
  <dcterms:created xsi:type="dcterms:W3CDTF">2026-07-04T23:14:05Z</dcterms:created>
  <dcterms:modified xsi:type="dcterms:W3CDTF">2026-08-11T21:09:45Z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