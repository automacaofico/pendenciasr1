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globalvale.sharepoint.com/sites/PlanejamentoFICO/Shared Documents/General/04. Rotinas de desempenho FICO/06_Central de Acesso - Atualização/"/>
    </mc:Choice>
  </mc:AlternateContent>
  <xr:revisionPtr revIDLastSave="184" documentId="13_ncr:1_{9A6A02AB-2EB7-44B2-A1F8-27858C4205F9}" xr6:coauthVersionLast="47" xr6:coauthVersionMax="47" xr10:uidLastSave="{539361F0-69F5-4364-9701-9B948BDFDFE3}"/>
  <bookViews>
    <workbookView xWindow="-120" yWindow="-120" windowWidth="29040" windowHeight="15720" tabRatio="500" activeTab="5" xr2:uid="{00000000-000D-0000-FFFF-FFFF00000000}"/>
  </bookViews>
  <sheets>
    <sheet name="INSTRUCOES" sheetId="1" r:id="rId1"/>
    <sheet name="PACOTES" sheetId="2" r:id="rId2"/>
    <sheet name="PENDENCIAS" sheetId="3" r:id="rId3"/>
    <sheet name="CENARIOS" sheetId="4" r:id="rId4"/>
    <sheet name="ALERTAS" sheetId="5" r:id="rId5"/>
    <sheet name="META" sheetId="6" r:id="rId6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" i="3" l="1"/>
  <c r="F14" i="3"/>
  <c r="F10" i="3"/>
  <c r="F6" i="3"/>
  <c r="F11" i="3"/>
  <c r="F4" i="3"/>
  <c r="I2" i="2"/>
  <c r="J2" i="2" s="1"/>
  <c r="F13" i="3"/>
  <c r="F12" i="3"/>
  <c r="F8" i="3"/>
  <c r="F7" i="3"/>
  <c r="F3" i="3"/>
  <c r="F2" i="3"/>
  <c r="J4" i="2"/>
  <c r="J3" i="2"/>
  <c r="F9" i="3" l="1"/>
</calcChain>
</file>

<file path=xl/sharedStrings.xml><?xml version="1.0" encoding="utf-8"?>
<sst xmlns="http://schemas.openxmlformats.org/spreadsheetml/2006/main" count="207" uniqueCount="122">
  <si>
    <t>PAINEL DE PENDÊNCIAS FICO INFRA — BASE ÚNICA DE DADOS</t>
  </si>
  <si>
    <t>Esta planilha é a FONTE ÚNICA do painel. Todo o conteúdo do HTML (números, cards, tabelas, cenários e alertas) é lido daqui.</t>
  </si>
  <si>
    <t>COMO ATUALIZAR:</t>
  </si>
  <si>
    <t>1. Edite os valores nas abas abaixo. NÃO altere nomes de abas nem os cabeçalhos da linha 1.</t>
  </si>
  <si>
    <t>2. A coluna PENDENTE (aba PENDENCIAS) e GAP_PCT (aba PACOTES) são fórmulas — não preencha à mão.</t>
  </si>
  <si>
    <t>3. Salve e suba no GitHub com o nome fixo: Base_Pendencias_FICO.xlsx</t>
  </si>
  <si>
    <t>4. O painel HTML puxa automaticamente a cada abertura (indicador 'sincronizado' no topo).</t>
  </si>
  <si>
    <t>ABAS:</t>
  </si>
  <si>
    <t xml:space="preserve">   • PACOTES     — 1 linha por pacote: empresa, KM, efetivo (enc/of/serv), mobilizado, necessário, cronograma, RNC, status.</t>
  </si>
  <si>
    <t xml:space="preserve">   • PENDENCIAS  — escopo por tipo (Total / Executado). PENDENTE é calculado.</t>
  </si>
  <si>
    <t xml:space="preserve">   • CENARIOS    — cenários de dimensionamento (1 a N equipes). ATUAL/NECESSARIO = marque com SIM.</t>
  </si>
  <si>
    <t xml:space="preserve">   • ALERTAS     — cards de alerta. PACOTE = GERAL / P1 / P2 / P3. TIPO = CRITICO / AVISO / INFO.</t>
  </si>
  <si>
    <t xml:space="preserve">   • META        — título, subtítulo, data de referência, premissa, marco.</t>
  </si>
  <si>
    <t>REGRAS DO SEMÁFORO (cor calculada pelo GAP): 0% = verde · até 30% = amarelo · acima de 30% = vermelho.</t>
  </si>
  <si>
    <t>O texto do status vem da coluna STATUS_TXT (aba PACOTES).</t>
  </si>
  <si>
    <t>PACOTE</t>
  </si>
  <si>
    <t>EMPRESA</t>
  </si>
  <si>
    <t>KM</t>
  </si>
  <si>
    <t>CRONOGRAMA</t>
  </si>
  <si>
    <t>ENCARREGADOS</t>
  </si>
  <si>
    <t>OFICIAIS</t>
  </si>
  <si>
    <t>SERVENTES</t>
  </si>
  <si>
    <t>MOBILIZADO</t>
  </si>
  <si>
    <t>NECESSARIO</t>
  </si>
  <si>
    <t>GAP_PCT</t>
  </si>
  <si>
    <t>STATUS_TXT</t>
  </si>
  <si>
    <t>RNC</t>
  </si>
  <si>
    <t>START_SEMANA</t>
  </si>
  <si>
    <t>EXTRA_LABEL</t>
  </si>
  <si>
    <t>EXTRA_VALUE</t>
  </si>
  <si>
    <t>MOB_NOTA</t>
  </si>
  <si>
    <t>P1</t>
  </si>
  <si>
    <t>EMPA</t>
  </si>
  <si>
    <t>KM 0 – 34+500</t>
  </si>
  <si>
    <t>Jul (4) + Ago (4) + Set (4) = 12 semanas</t>
  </si>
  <si>
    <t>Mobilização crítica</t>
  </si>
  <si>
    <t>Marco final</t>
  </si>
  <si>
    <t>15/10/2026</t>
  </si>
  <si>
    <t>P2</t>
  </si>
  <si>
    <t>ATERPA</t>
  </si>
  <si>
    <t>KM 34+500 – 69+500</t>
  </si>
  <si>
    <t>Jul (2) + Ago (4) + Set (4) = 10 semanas</t>
  </si>
  <si>
    <t>Mobilização a partir de</t>
  </si>
  <si>
    <t>15/07/2026</t>
  </si>
  <si>
    <t>Mobilização a partir de 15/07/2026. Vale está fazendo reinspeção em campo para baixar novas pendências.</t>
  </si>
  <si>
    <t>P3</t>
  </si>
  <si>
    <t>ÁPIA</t>
  </si>
  <si>
    <t>KM 69+500 – 104+500</t>
  </si>
  <si>
    <t>Atenção</t>
  </si>
  <si>
    <t>Equipes atuais</t>
  </si>
  <si>
    <t>2 frentes</t>
  </si>
  <si>
    <t>TIPO</t>
  </si>
  <si>
    <t>TOTAL</t>
  </si>
  <si>
    <t>EXECUTADO</t>
  </si>
  <si>
    <t>PENDENTE</t>
  </si>
  <si>
    <t>OBSERVACAO</t>
  </si>
  <si>
    <t>DOCUMENTAL</t>
  </si>
  <si>
    <t>HIDRO</t>
  </si>
  <si>
    <t>VALE</t>
  </si>
  <si>
    <t>REPAROS</t>
  </si>
  <si>
    <t>Maior volume — foco da mobilização</t>
  </si>
  <si>
    <t>Maior volume — foco das 2 frentes</t>
  </si>
  <si>
    <t>N_EQUIPES</t>
  </si>
  <si>
    <t>PEND_SEMANA</t>
  </si>
  <si>
    <t>PEND_DIA</t>
  </si>
  <si>
    <t>COLABORADORES</t>
  </si>
  <si>
    <t>ATUAL</t>
  </si>
  <si>
    <t>NOTA</t>
  </si>
  <si>
    <t>SIM</t>
  </si>
  <si>
    <t>TITULO</t>
  </si>
  <si>
    <t>TEXTO</t>
  </si>
  <si>
    <t>GERAL</t>
  </si>
  <si>
    <t>CRITICO</t>
  </si>
  <si>
    <t>Gap crítico de mobilização — Pacote 02</t>
  </si>
  <si>
    <t>ATERPA com 30 colaboradores mobilizados frente aos 60 necessários (5 equipes × 12). Ritmo atual não zera as 684 pendências no prazo.</t>
  </si>
  <si>
    <t>AVISO</t>
  </si>
  <si>
    <t>Risco de refazimento — Pacote 01</t>
  </si>
  <si>
    <t>EMPA reporta ~40% de refazimento pós reinspeção. Combinado acompanhar e, se percentual se mantiver, incrementar equipes para preservar marco 15/10.</t>
  </si>
  <si>
    <t>INFO</t>
  </si>
  <si>
    <t>Reinspeção em curso</t>
  </si>
  <si>
    <t>EMPA solicitará reinspeção de 140 pendências em 48h. Controle VALE registra 99 baixadas contra 308 no controle EMPA — divergência sob avaliação.</t>
  </si>
  <si>
    <t>RNCs em campo</t>
  </si>
  <si>
    <t>65 RNCs totais em tratativa de campo (15 · P1 · sem equipe específica · prev. jul/26 + 20 · P2 + 30 · P3).</t>
  </si>
  <si>
    <t>Taxa de refazimento pós reinspeção ≈ 40%</t>
  </si>
  <si>
    <t>Alertada a EMPA. Combinado de acompanhar o avanço; caso o percentual se mantenha e coloque em risco o prazo final de setembro, será necessário incrementar as equipes.</t>
  </si>
  <si>
    <t>Divergência de baixas · VALE × EMPA</t>
  </si>
  <si>
    <t xml:space="preserve">Controle VALE registra 99 baixadas. EMPA vai solicitar reinspeção de 140 pendências entre hoje e amanhã. </t>
  </si>
  <si>
    <t>Gap crítico de mobilização — Pacote 01</t>
  </si>
  <si>
    <t>EMPA com 12 colaboradores mobilizados frente aos 36 necessários (3 equipes × 12). Ritmo atual não zera as 749 pendências no prazo.</t>
  </si>
  <si>
    <t>Marcos contratuais · 15/10/2026</t>
  </si>
  <si>
    <t>Hidro (90) e TAC 05 (132) têm marco final até 15/10. Prioridade de execução no cronograma.</t>
  </si>
  <si>
    <t>Gap de mobilização de 50%</t>
  </si>
  <si>
    <t>30 colaboradores mobilizados × 60 necessários. Composição atual (1 enc + 29 serv) precisa evoluir para 5 equipes de 12 (1 enc + 4 of + 8 serv por equipe).</t>
  </si>
  <si>
    <t>Baixo avanço acumulado (7%)</t>
  </si>
  <si>
    <t>Apenas 50 de 734 pendências executadas. Mobilização a partir de 15/07 precisa acelerar para reduzir o risco de estouro do marco de encerramento.</t>
  </si>
  <si>
    <t>Reinspeção Vale em campo</t>
  </si>
  <si>
    <t>Vale está fazendo reinspeção em campo para baixar novas pendências — números podem sofrer ajuste.</t>
  </si>
  <si>
    <t>RNCs em campo · 20</t>
  </si>
  <si>
    <t>20 RNCs para tratativas em campo.</t>
  </si>
  <si>
    <t>Gap de mobilização de 25%</t>
  </si>
  <si>
    <t>36 colaboradores mobilizados × 48 necessários. Faltam 12 colaboradores (equivalente a 1 equipe adicional) para atingir o dimensionamento ideal.</t>
  </si>
  <si>
    <t>Baixo avanço acumulado (9%)</t>
  </si>
  <si>
    <t>Apenas 56 de 595 pendências executadas. Necessário aceleração para reduzir risco no encerramento.</t>
  </si>
  <si>
    <t>RNCs em campo · 30</t>
  </si>
  <si>
    <t>Aproximadamente 30 RNCs para tratativas em campo — maior volume entre os três pacotes.</t>
  </si>
  <si>
    <t>Estrutura em 2 frentes</t>
  </si>
  <si>
    <t>Operação estruturada em 2 equipes (18 serventes + 1 encarregado cada) — ampliar para 4 frentes exige nova frente com 1 encarregado + 4 oficiais + 8 serventes.</t>
  </si>
  <si>
    <t>CHAVE</t>
  </si>
  <si>
    <t>VALOR</t>
  </si>
  <si>
    <t>Painel de Pendências FICO Infra — Encerramento de Obra</t>
  </si>
  <si>
    <t>SUBTITULO</t>
  </si>
  <si>
    <t>Ferrovia de Integração Centro-Oeste · EF-354 · KM 0–104+500 · Pacotes 01, 02 e 03</t>
  </si>
  <si>
    <t>DATA_REFERENCIA</t>
  </si>
  <si>
    <t>CADENCIA</t>
  </si>
  <si>
    <t>Atualização semanal</t>
  </si>
  <si>
    <t>PREMISSA</t>
  </si>
  <si>
    <t>1 equipe com 12 colaboradores (1 encarregado + 4 oficiais + 8 serventes) executa em média 2 pendências/dia</t>
  </si>
  <si>
    <t>MARCO_FINAL</t>
  </si>
  <si>
    <t>15/10/2026 — Hidro e TAC 05 (Pacote 01)</t>
  </si>
  <si>
    <t>Não será realizado pela EMPA</t>
  </si>
  <si>
    <t>Marco final - 30/09/26</t>
  </si>
  <si>
    <t xml:space="preserve">04/08/2026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</si>
</sst>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6"/>
      <color rgb="FF142A4C"/>
      <name val="Arial"/>
      <family val="2"/>
    </font>
    <font>
      <sz val="10"/>
      <color rgb="FF333333"/>
      <name val="Arial"/>
      <family val="2"/>
    </font>
    <font>
      <b/>
      <sz val="11"/>
      <color rgb="FF142A4C"/>
      <name val="Arial"/>
      <family val="2"/>
    </font>
    <font>
      <b/>
      <sz val="11"/>
      <color rgb="FFF89B32"/>
      <name val="Arial"/>
      <family val="2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10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42A4C"/>
        <bgColor rgb="FF333333"/>
      </patternFill>
    </fill>
    <fill>
      <patternFill patternType="solid">
        <fgColor rgb="FFD14545"/>
        <bgColor rgb="FF993366"/>
      </patternFill>
    </fill>
    <fill>
      <patternFill patternType="solid">
        <fgColor rgb="FFF4C430"/>
        <bgColor rgb="FFF89B32"/>
      </patternFill>
    </fill>
    <fill>
      <patternFill patternType="solid">
        <fgColor rgb="FF3578BC"/>
        <bgColor rgb="FF666699"/>
      </patternFill>
    </fill>
    <fill>
      <patternFill patternType="solid">
        <fgColor rgb="FFF4F6F9"/>
        <bgColor rgb="FFFFFFFF"/>
      </patternFill>
    </fill>
  </fills>
  <borders count="2">
    <border>
      <left/>
      <right/>
      <top/>
      <bottom/>
      <diagonal/>
    </border>
    <border>
      <left style="thin">
        <color rgb="FFE1E6EE"/>
      </left>
      <right style="thin">
        <color rgb="FFE1E6EE"/>
      </right>
      <top style="thin">
        <color rgb="FFE1E6EE"/>
      </top>
      <bottom style="thin">
        <color rgb="FFE1E6EE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14545"/>
      <rgbColor rgb="FFF4F6F9"/>
      <rgbColor rgb="FFE1E6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578BC"/>
      <rgbColor rgb="FF33CCCC"/>
      <rgbColor rgb="FF99CC00"/>
      <rgbColor rgb="FFF4C430"/>
      <rgbColor rgb="FFF89B32"/>
      <rgbColor rgb="FFFF6600"/>
      <rgbColor rgb="FF666699"/>
      <rgbColor rgb="FF969696"/>
      <rgbColor rgb="FF142A4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0"/>
  <sheetViews>
    <sheetView zoomScaleNormal="100" workbookViewId="0">
      <selection activeCell="B7" sqref="B7"/>
    </sheetView>
  </sheetViews>
  <sheetFormatPr defaultColWidth="8.7109375" defaultRowHeight="15" x14ac:dyDescent="0.25"/>
  <cols>
    <col min="1" max="1" width="2" customWidth="1"/>
    <col min="2" max="2" width="115" customWidth="1"/>
  </cols>
  <sheetData>
    <row r="2" spans="2:2" ht="20.25" x14ac:dyDescent="0.3">
      <c r="B2" s="1" t="s">
        <v>0</v>
      </c>
    </row>
    <row r="3" spans="2:2" x14ac:dyDescent="0.25">
      <c r="B3" s="2"/>
    </row>
    <row r="4" spans="2:2" x14ac:dyDescent="0.25">
      <c r="B4" s="3" t="s">
        <v>1</v>
      </c>
    </row>
    <row r="5" spans="2:2" x14ac:dyDescent="0.25">
      <c r="B5" s="2"/>
    </row>
    <row r="6" spans="2:2" x14ac:dyDescent="0.25">
      <c r="B6" s="3" t="s">
        <v>2</v>
      </c>
    </row>
    <row r="7" spans="2:2" x14ac:dyDescent="0.25">
      <c r="B7" s="2" t="s">
        <v>3</v>
      </c>
    </row>
    <row r="8" spans="2:2" x14ac:dyDescent="0.25">
      <c r="B8" s="2" t="s">
        <v>4</v>
      </c>
    </row>
    <row r="9" spans="2:2" x14ac:dyDescent="0.25">
      <c r="B9" s="2" t="s">
        <v>5</v>
      </c>
    </row>
    <row r="10" spans="2:2" x14ac:dyDescent="0.25">
      <c r="B10" s="2" t="s">
        <v>6</v>
      </c>
    </row>
    <row r="11" spans="2:2" x14ac:dyDescent="0.25">
      <c r="B11" s="2"/>
    </row>
    <row r="12" spans="2:2" x14ac:dyDescent="0.25">
      <c r="B12" s="3" t="s">
        <v>7</v>
      </c>
    </row>
    <row r="13" spans="2:2" x14ac:dyDescent="0.25">
      <c r="B13" s="2" t="s">
        <v>8</v>
      </c>
    </row>
    <row r="14" spans="2:2" x14ac:dyDescent="0.25">
      <c r="B14" s="2" t="s">
        <v>9</v>
      </c>
    </row>
    <row r="15" spans="2:2" x14ac:dyDescent="0.25">
      <c r="B15" s="2" t="s">
        <v>10</v>
      </c>
    </row>
    <row r="16" spans="2:2" x14ac:dyDescent="0.25">
      <c r="B16" s="2" t="s">
        <v>11</v>
      </c>
    </row>
    <row r="17" spans="2:2" x14ac:dyDescent="0.25">
      <c r="B17" s="2" t="s">
        <v>12</v>
      </c>
    </row>
    <row r="18" spans="2:2" x14ac:dyDescent="0.25">
      <c r="B18" s="2"/>
    </row>
    <row r="19" spans="2:2" x14ac:dyDescent="0.25">
      <c r="B19" s="4" t="s">
        <v>13</v>
      </c>
    </row>
    <row r="20" spans="2:2" x14ac:dyDescent="0.25">
      <c r="B20" s="2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"/>
  <sheetViews>
    <sheetView zoomScaleNormal="100" workbookViewId="0">
      <selection activeCell="H4" sqref="H4"/>
    </sheetView>
  </sheetViews>
  <sheetFormatPr defaultColWidth="8.7109375" defaultRowHeight="15" x14ac:dyDescent="0.25"/>
  <cols>
    <col min="1" max="1" width="9.28515625" bestFit="1" customWidth="1"/>
    <col min="2" max="2" width="10.5703125" bestFit="1" customWidth="1"/>
    <col min="3" max="3" width="19.5703125" bestFit="1" customWidth="1"/>
    <col min="4" max="4" width="19.140625" bestFit="1" customWidth="1"/>
    <col min="5" max="5" width="18.140625" bestFit="1" customWidth="1"/>
    <col min="6" max="6" width="9.140625" bestFit="1" customWidth="1"/>
    <col min="7" max="7" width="13.42578125" bestFit="1" customWidth="1"/>
    <col min="8" max="8" width="13" bestFit="1" customWidth="1"/>
    <col min="9" max="9" width="14.140625" bestFit="1" customWidth="1"/>
    <col min="10" max="10" width="10.42578125" bestFit="1" customWidth="1"/>
    <col min="11" max="11" width="15.7109375" bestFit="1" customWidth="1"/>
    <col min="12" max="12" width="5.140625" bestFit="1" customWidth="1"/>
    <col min="13" max="13" width="17.42578125" bestFit="1" customWidth="1"/>
    <col min="14" max="14" width="19.140625" bestFit="1" customWidth="1"/>
    <col min="15" max="15" width="15.5703125" bestFit="1" customWidth="1"/>
    <col min="16" max="16" width="44.85546875" bestFit="1" customWidth="1"/>
  </cols>
  <sheetData>
    <row r="1" spans="1:16" ht="27" customHeight="1" x14ac:dyDescent="0.25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  <c r="O1" s="5" t="s">
        <v>29</v>
      </c>
      <c r="P1" s="5" t="s">
        <v>30</v>
      </c>
    </row>
    <row r="2" spans="1:16" ht="38.25" x14ac:dyDescent="0.25">
      <c r="A2" s="6" t="s">
        <v>31</v>
      </c>
      <c r="B2" s="7" t="s">
        <v>32</v>
      </c>
      <c r="C2" s="7" t="s">
        <v>33</v>
      </c>
      <c r="D2" s="7" t="s">
        <v>34</v>
      </c>
      <c r="E2" s="8">
        <v>1</v>
      </c>
      <c r="F2" s="8">
        <v>4</v>
      </c>
      <c r="G2" s="8">
        <v>8</v>
      </c>
      <c r="H2" s="9">
        <v>12</v>
      </c>
      <c r="I2" s="9">
        <f>12*3</f>
        <v>36</v>
      </c>
      <c r="J2" s="6">
        <f>IF(I2=0,0,ROUND((1-H2/I2)*100,0))</f>
        <v>67</v>
      </c>
      <c r="K2" s="7" t="s">
        <v>35</v>
      </c>
      <c r="L2" s="8">
        <v>15</v>
      </c>
      <c r="M2" s="8">
        <v>0</v>
      </c>
      <c r="N2" s="7" t="s">
        <v>36</v>
      </c>
      <c r="O2" s="7" t="s">
        <v>37</v>
      </c>
      <c r="P2" s="7"/>
    </row>
    <row r="3" spans="1:16" ht="38.25" x14ac:dyDescent="0.25">
      <c r="A3" s="6" t="s">
        <v>38</v>
      </c>
      <c r="B3" s="7" t="s">
        <v>39</v>
      </c>
      <c r="C3" s="7" t="s">
        <v>40</v>
      </c>
      <c r="D3" s="7" t="s">
        <v>41</v>
      </c>
      <c r="E3" s="8">
        <v>1</v>
      </c>
      <c r="F3" s="8">
        <v>0</v>
      </c>
      <c r="G3" s="8">
        <v>29</v>
      </c>
      <c r="H3" s="9">
        <v>11</v>
      </c>
      <c r="I3" s="9">
        <v>60</v>
      </c>
      <c r="J3" s="6">
        <f>IF(I3=0,0,ROUND((1-H3/I3)*100,0))</f>
        <v>82</v>
      </c>
      <c r="K3" s="7" t="s">
        <v>35</v>
      </c>
      <c r="L3" s="8">
        <v>20</v>
      </c>
      <c r="M3" s="8">
        <v>2</v>
      </c>
      <c r="N3" s="7" t="s">
        <v>42</v>
      </c>
      <c r="O3" s="7" t="s">
        <v>43</v>
      </c>
      <c r="P3" s="7" t="s">
        <v>44</v>
      </c>
    </row>
    <row r="4" spans="1:16" ht="38.25" x14ac:dyDescent="0.25">
      <c r="A4" s="6" t="s">
        <v>45</v>
      </c>
      <c r="B4" s="7" t="s">
        <v>46</v>
      </c>
      <c r="C4" s="7" t="s">
        <v>47</v>
      </c>
      <c r="D4" s="7" t="s">
        <v>34</v>
      </c>
      <c r="E4" s="8">
        <v>2</v>
      </c>
      <c r="F4" s="8">
        <v>0</v>
      </c>
      <c r="G4" s="8">
        <v>36</v>
      </c>
      <c r="H4" s="9">
        <v>36</v>
      </c>
      <c r="I4" s="9">
        <v>48</v>
      </c>
      <c r="J4" s="6">
        <f>IF(I4=0,0,ROUND((1-H4/I4)*100,0))</f>
        <v>25</v>
      </c>
      <c r="K4" s="7" t="s">
        <v>48</v>
      </c>
      <c r="L4" s="8">
        <v>30</v>
      </c>
      <c r="M4" s="8">
        <v>0</v>
      </c>
      <c r="N4" s="7" t="s">
        <v>49</v>
      </c>
      <c r="O4" s="7" t="s">
        <v>50</v>
      </c>
      <c r="P4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"/>
  <sheetViews>
    <sheetView zoomScale="115" zoomScaleNormal="115" workbookViewId="0">
      <selection activeCell="G5" sqref="G5"/>
    </sheetView>
  </sheetViews>
  <sheetFormatPr defaultColWidth="8.7109375" defaultRowHeight="15" x14ac:dyDescent="0.25"/>
  <cols>
    <col min="1" max="1" width="10.140625" bestFit="1" customWidth="1"/>
    <col min="2" max="2" width="11.7109375" bestFit="1" customWidth="1"/>
    <col min="3" max="3" width="14.28515625" bestFit="1" customWidth="1"/>
    <col min="4" max="4" width="8.28515625" bestFit="1" customWidth="1"/>
    <col min="5" max="5" width="14.5703125" bestFit="1" customWidth="1"/>
    <col min="6" max="6" width="12.85546875" bestFit="1" customWidth="1"/>
    <col min="7" max="7" width="32.28515625" bestFit="1" customWidth="1"/>
  </cols>
  <sheetData>
    <row r="1" spans="1:7" x14ac:dyDescent="0.25">
      <c r="A1" s="5" t="s">
        <v>15</v>
      </c>
      <c r="B1" s="5" t="s">
        <v>16</v>
      </c>
      <c r="C1" s="5" t="s">
        <v>51</v>
      </c>
      <c r="D1" s="5" t="s">
        <v>52</v>
      </c>
      <c r="E1" s="5" t="s">
        <v>53</v>
      </c>
      <c r="F1" s="5" t="s">
        <v>54</v>
      </c>
      <c r="G1" s="5" t="s">
        <v>55</v>
      </c>
    </row>
    <row r="2" spans="1:7" x14ac:dyDescent="0.25">
      <c r="A2" s="6" t="s">
        <v>31</v>
      </c>
      <c r="B2" s="7" t="s">
        <v>32</v>
      </c>
      <c r="C2" s="7" t="s">
        <v>56</v>
      </c>
      <c r="D2" s="6">
        <v>84</v>
      </c>
      <c r="E2" s="8">
        <v>45</v>
      </c>
      <c r="F2" s="10">
        <f t="shared" ref="F2:F13" si="0">D2-E2</f>
        <v>39</v>
      </c>
      <c r="G2" s="7"/>
    </row>
    <row r="3" spans="1:7" x14ac:dyDescent="0.25">
      <c r="A3" s="6" t="s">
        <v>31</v>
      </c>
      <c r="B3" s="7" t="s">
        <v>32</v>
      </c>
      <c r="C3" s="7" t="s">
        <v>57</v>
      </c>
      <c r="D3" s="6">
        <v>79</v>
      </c>
      <c r="E3" s="8">
        <v>6</v>
      </c>
      <c r="F3" s="10">
        <f t="shared" si="0"/>
        <v>73</v>
      </c>
      <c r="G3" s="7" t="s">
        <v>119</v>
      </c>
    </row>
    <row r="4" spans="1:7" x14ac:dyDescent="0.25">
      <c r="A4" s="6" t="s">
        <v>31</v>
      </c>
      <c r="B4" s="7" t="s">
        <v>32</v>
      </c>
      <c r="C4" s="7" t="s">
        <v>59</v>
      </c>
      <c r="D4" s="6">
        <v>661</v>
      </c>
      <c r="E4" s="8">
        <v>307</v>
      </c>
      <c r="F4" s="10">
        <f t="shared" si="0"/>
        <v>354</v>
      </c>
      <c r="G4" s="7" t="s">
        <v>120</v>
      </c>
    </row>
    <row r="5" spans="1:7" x14ac:dyDescent="0.25">
      <c r="A5" s="6" t="s">
        <v>31</v>
      </c>
      <c r="B5" s="7" t="s">
        <v>58</v>
      </c>
      <c r="C5" s="7" t="s">
        <v>57</v>
      </c>
      <c r="D5" s="6">
        <v>13</v>
      </c>
      <c r="E5" s="8">
        <v>0</v>
      </c>
      <c r="F5" s="10">
        <f t="shared" si="0"/>
        <v>13</v>
      </c>
      <c r="G5" s="7"/>
    </row>
    <row r="6" spans="1:7" x14ac:dyDescent="0.25">
      <c r="A6" s="6" t="s">
        <v>31</v>
      </c>
      <c r="B6" s="7" t="s">
        <v>58</v>
      </c>
      <c r="C6" s="7" t="s">
        <v>59</v>
      </c>
      <c r="D6" s="6">
        <v>88</v>
      </c>
      <c r="E6" s="8">
        <v>1</v>
      </c>
      <c r="F6" s="10">
        <f t="shared" ref="F6" si="1">D6-E6</f>
        <v>87</v>
      </c>
      <c r="G6" s="7"/>
    </row>
    <row r="7" spans="1:7" x14ac:dyDescent="0.25">
      <c r="A7" s="6" t="s">
        <v>38</v>
      </c>
      <c r="B7" s="7" t="s">
        <v>39</v>
      </c>
      <c r="C7" s="7" t="s">
        <v>56</v>
      </c>
      <c r="D7" s="6">
        <v>53</v>
      </c>
      <c r="E7" s="8">
        <v>25</v>
      </c>
      <c r="F7" s="10">
        <f t="shared" si="0"/>
        <v>28</v>
      </c>
      <c r="G7" s="7"/>
    </row>
    <row r="8" spans="1:7" x14ac:dyDescent="0.25">
      <c r="A8" s="6" t="s">
        <v>38</v>
      </c>
      <c r="B8" s="7" t="s">
        <v>39</v>
      </c>
      <c r="C8" s="7" t="s">
        <v>57</v>
      </c>
      <c r="D8" s="6">
        <v>40</v>
      </c>
      <c r="E8" s="8">
        <v>3</v>
      </c>
      <c r="F8" s="10">
        <f t="shared" si="0"/>
        <v>37</v>
      </c>
      <c r="G8" s="7"/>
    </row>
    <row r="9" spans="1:7" x14ac:dyDescent="0.25">
      <c r="A9" s="6" t="s">
        <v>38</v>
      </c>
      <c r="B9" s="7" t="s">
        <v>39</v>
      </c>
      <c r="C9" s="7" t="s">
        <v>59</v>
      </c>
      <c r="D9" s="6">
        <v>634</v>
      </c>
      <c r="E9" s="8">
        <v>167</v>
      </c>
      <c r="F9" s="10">
        <f t="shared" si="0"/>
        <v>467</v>
      </c>
      <c r="G9" s="7" t="s">
        <v>60</v>
      </c>
    </row>
    <row r="10" spans="1:7" x14ac:dyDescent="0.25">
      <c r="A10" s="6" t="s">
        <v>38</v>
      </c>
      <c r="B10" s="7" t="s">
        <v>58</v>
      </c>
      <c r="C10" s="7" t="s">
        <v>59</v>
      </c>
      <c r="D10" s="6">
        <v>10</v>
      </c>
      <c r="E10" s="8">
        <v>0</v>
      </c>
      <c r="F10" s="10">
        <f t="shared" si="0"/>
        <v>10</v>
      </c>
      <c r="G10" s="7"/>
    </row>
    <row r="11" spans="1:7" x14ac:dyDescent="0.25">
      <c r="A11" s="6" t="s">
        <v>45</v>
      </c>
      <c r="B11" s="7" t="s">
        <v>46</v>
      </c>
      <c r="C11" s="7" t="s">
        <v>56</v>
      </c>
      <c r="D11" s="6">
        <v>46</v>
      </c>
      <c r="E11" s="8">
        <v>5</v>
      </c>
      <c r="F11" s="10">
        <f t="shared" si="0"/>
        <v>41</v>
      </c>
      <c r="G11" s="7"/>
    </row>
    <row r="12" spans="1:7" x14ac:dyDescent="0.25">
      <c r="A12" s="6" t="s">
        <v>45</v>
      </c>
      <c r="B12" s="7" t="s">
        <v>46</v>
      </c>
      <c r="C12" s="7" t="s">
        <v>57</v>
      </c>
      <c r="D12" s="6">
        <v>100</v>
      </c>
      <c r="E12" s="8">
        <v>5</v>
      </c>
      <c r="F12" s="10">
        <f t="shared" si="0"/>
        <v>95</v>
      </c>
      <c r="G12" s="7"/>
    </row>
    <row r="13" spans="1:7" x14ac:dyDescent="0.25">
      <c r="A13" s="6" t="s">
        <v>45</v>
      </c>
      <c r="B13" s="7" t="s">
        <v>46</v>
      </c>
      <c r="C13" s="7" t="s">
        <v>59</v>
      </c>
      <c r="D13" s="6">
        <v>839</v>
      </c>
      <c r="E13" s="8">
        <v>155</v>
      </c>
      <c r="F13" s="10">
        <f t="shared" si="0"/>
        <v>684</v>
      </c>
      <c r="G13" s="7" t="s">
        <v>61</v>
      </c>
    </row>
    <row r="14" spans="1:7" x14ac:dyDescent="0.25">
      <c r="A14" s="6" t="s">
        <v>45</v>
      </c>
      <c r="B14" s="7" t="s">
        <v>58</v>
      </c>
      <c r="C14" s="7" t="s">
        <v>59</v>
      </c>
      <c r="D14" s="6">
        <v>14</v>
      </c>
      <c r="E14" s="8">
        <v>0</v>
      </c>
      <c r="F14" s="10">
        <f t="shared" ref="F14" si="2">D14-E14</f>
        <v>14</v>
      </c>
      <c r="G14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zoomScaleNormal="100" workbookViewId="0">
      <selection activeCell="C8" sqref="C8"/>
    </sheetView>
  </sheetViews>
  <sheetFormatPr defaultColWidth="8.7109375" defaultRowHeight="15" x14ac:dyDescent="0.25"/>
  <cols>
    <col min="1" max="1" width="9.28515625" bestFit="1" customWidth="1"/>
    <col min="2" max="2" width="12.28515625" bestFit="1" customWidth="1"/>
    <col min="3" max="3" width="16.140625" bestFit="1" customWidth="1"/>
    <col min="4" max="4" width="11.42578125" bestFit="1" customWidth="1"/>
    <col min="5" max="5" width="19.5703125" bestFit="1" customWidth="1"/>
    <col min="6" max="6" width="7.5703125" bestFit="1" customWidth="1"/>
    <col min="7" max="7" width="14.140625" bestFit="1" customWidth="1"/>
    <col min="8" max="8" width="6.5703125" bestFit="1" customWidth="1"/>
  </cols>
  <sheetData>
    <row r="1" spans="1:8" ht="30" x14ac:dyDescent="0.25">
      <c r="A1" s="5" t="s">
        <v>15</v>
      </c>
      <c r="B1" s="5" t="s">
        <v>62</v>
      </c>
      <c r="C1" s="5" t="s">
        <v>63</v>
      </c>
      <c r="D1" s="5" t="s">
        <v>64</v>
      </c>
      <c r="E1" s="5" t="s">
        <v>65</v>
      </c>
      <c r="F1" s="5" t="s">
        <v>66</v>
      </c>
      <c r="G1" s="5" t="s">
        <v>23</v>
      </c>
      <c r="H1" s="5" t="s">
        <v>67</v>
      </c>
    </row>
    <row r="2" spans="1:8" x14ac:dyDescent="0.25">
      <c r="A2" s="6" t="s">
        <v>31</v>
      </c>
      <c r="B2" s="10">
        <v>1</v>
      </c>
      <c r="C2" s="16">
        <v>5.375</v>
      </c>
      <c r="D2" s="16">
        <v>1.075</v>
      </c>
      <c r="E2" s="6">
        <v>12</v>
      </c>
      <c r="F2" s="6" t="s">
        <v>68</v>
      </c>
      <c r="G2" s="6"/>
      <c r="H2" s="7"/>
    </row>
    <row r="3" spans="1:8" x14ac:dyDescent="0.25">
      <c r="A3" s="6" t="s">
        <v>31</v>
      </c>
      <c r="B3" s="10">
        <v>2</v>
      </c>
      <c r="C3" s="16">
        <v>12.625</v>
      </c>
      <c r="D3" s="16">
        <v>2.5249999999999999</v>
      </c>
      <c r="E3" s="6">
        <v>24</v>
      </c>
      <c r="F3" s="6"/>
      <c r="G3" s="6"/>
      <c r="H3" s="7"/>
    </row>
    <row r="4" spans="1:8" x14ac:dyDescent="0.25">
      <c r="A4" s="6" t="s">
        <v>31</v>
      </c>
      <c r="B4" s="10">
        <v>3</v>
      </c>
      <c r="C4" s="16">
        <v>12.5</v>
      </c>
      <c r="D4" s="16">
        <v>2.5</v>
      </c>
      <c r="E4" s="6">
        <v>36</v>
      </c>
      <c r="F4" s="6"/>
      <c r="G4" s="6" t="s">
        <v>68</v>
      </c>
      <c r="H4" s="7"/>
    </row>
    <row r="5" spans="1:8" x14ac:dyDescent="0.25">
      <c r="A5" s="6" t="s">
        <v>31</v>
      </c>
      <c r="B5" s="10">
        <v>1</v>
      </c>
      <c r="C5" s="16">
        <v>6</v>
      </c>
      <c r="D5" s="16">
        <v>1.2</v>
      </c>
      <c r="E5" s="6">
        <v>12</v>
      </c>
      <c r="F5" s="6"/>
      <c r="G5" s="6"/>
      <c r="H5" s="7"/>
    </row>
    <row r="6" spans="1:8" x14ac:dyDescent="0.25">
      <c r="A6" s="6" t="s">
        <v>38</v>
      </c>
      <c r="B6" s="10">
        <v>2</v>
      </c>
      <c r="C6" s="16">
        <v>3.5</v>
      </c>
      <c r="D6" s="16">
        <v>0.7</v>
      </c>
      <c r="E6" s="6">
        <v>24</v>
      </c>
      <c r="F6" s="6"/>
      <c r="G6" s="6"/>
      <c r="H6" s="7"/>
    </row>
    <row r="7" spans="1:8" x14ac:dyDescent="0.25">
      <c r="A7" s="6" t="s">
        <v>38</v>
      </c>
      <c r="B7" s="10">
        <v>3</v>
      </c>
      <c r="C7" s="16">
        <v>4.625</v>
      </c>
      <c r="D7" s="16">
        <v>0.92500000000000004</v>
      </c>
      <c r="E7" s="6">
        <v>36</v>
      </c>
      <c r="F7" s="6" t="s">
        <v>68</v>
      </c>
      <c r="G7" s="6"/>
      <c r="H7" s="7"/>
    </row>
    <row r="8" spans="1:8" x14ac:dyDescent="0.25">
      <c r="A8" s="6" t="s">
        <v>38</v>
      </c>
      <c r="B8" s="10">
        <v>4</v>
      </c>
      <c r="C8" s="16">
        <v>11.375</v>
      </c>
      <c r="D8" s="16">
        <v>2.2749999999999999</v>
      </c>
      <c r="E8" s="6">
        <v>48</v>
      </c>
      <c r="F8" s="6"/>
      <c r="G8" s="6"/>
      <c r="H8" s="7"/>
    </row>
    <row r="9" spans="1:8" x14ac:dyDescent="0.25">
      <c r="A9" s="6" t="s">
        <v>45</v>
      </c>
      <c r="B9" s="10">
        <v>5</v>
      </c>
      <c r="C9" s="16">
        <v>3.875</v>
      </c>
      <c r="D9" s="16">
        <v>0.77500000000000002</v>
      </c>
      <c r="E9" s="6">
        <v>60</v>
      </c>
      <c r="F9" s="6"/>
      <c r="G9" s="6" t="s">
        <v>68</v>
      </c>
      <c r="H9" s="7"/>
    </row>
    <row r="10" spans="1:8" x14ac:dyDescent="0.25">
      <c r="A10" s="6" t="s">
        <v>45</v>
      </c>
      <c r="B10" s="10">
        <v>1</v>
      </c>
      <c r="C10" s="16">
        <v>6</v>
      </c>
      <c r="D10" s="16">
        <v>1.2</v>
      </c>
      <c r="E10" s="6">
        <v>12</v>
      </c>
      <c r="F10" s="6"/>
      <c r="G10" s="6"/>
      <c r="H10" s="7"/>
    </row>
    <row r="11" spans="1:8" x14ac:dyDescent="0.25">
      <c r="A11" s="6" t="s">
        <v>45</v>
      </c>
      <c r="B11" s="10">
        <v>2</v>
      </c>
      <c r="C11" s="16">
        <v>4</v>
      </c>
      <c r="D11" s="16">
        <v>0.8</v>
      </c>
      <c r="E11" s="6">
        <v>24</v>
      </c>
      <c r="F11" s="6"/>
      <c r="G11" s="6"/>
      <c r="H11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zoomScaleNormal="100" workbookViewId="0">
      <selection activeCell="D4" sqref="D4"/>
    </sheetView>
  </sheetViews>
  <sheetFormatPr defaultColWidth="8.7109375" defaultRowHeight="15" x14ac:dyDescent="0.25"/>
  <cols>
    <col min="1" max="1" width="9.28515625" bestFit="1" customWidth="1"/>
    <col min="2" max="2" width="8.140625" bestFit="1" customWidth="1"/>
    <col min="3" max="3" width="38.28515625" bestFit="1" customWidth="1"/>
    <col min="4" max="4" width="84.5703125" bestFit="1" customWidth="1"/>
  </cols>
  <sheetData>
    <row r="1" spans="1:4" ht="30" x14ac:dyDescent="0.25">
      <c r="A1" s="5" t="s">
        <v>15</v>
      </c>
      <c r="B1" s="5" t="s">
        <v>51</v>
      </c>
      <c r="C1" s="5" t="s">
        <v>69</v>
      </c>
      <c r="D1" s="5" t="s">
        <v>70</v>
      </c>
    </row>
    <row r="2" spans="1:4" ht="25.5" x14ac:dyDescent="0.25">
      <c r="A2" s="10" t="s">
        <v>71</v>
      </c>
      <c r="B2" s="11" t="s">
        <v>72</v>
      </c>
      <c r="C2" s="12" t="s">
        <v>73</v>
      </c>
      <c r="D2" s="7" t="s">
        <v>74</v>
      </c>
    </row>
    <row r="3" spans="1:4" ht="25.5" x14ac:dyDescent="0.25">
      <c r="A3" s="10" t="s">
        <v>71</v>
      </c>
      <c r="B3" s="13" t="s">
        <v>75</v>
      </c>
      <c r="C3" s="12" t="s">
        <v>76</v>
      </c>
      <c r="D3" s="7" t="s">
        <v>77</v>
      </c>
    </row>
    <row r="4" spans="1:4" ht="25.5" x14ac:dyDescent="0.25">
      <c r="A4" s="10" t="s">
        <v>71</v>
      </c>
      <c r="B4" s="14" t="s">
        <v>78</v>
      </c>
      <c r="C4" s="12" t="s">
        <v>79</v>
      </c>
      <c r="D4" s="7" t="s">
        <v>80</v>
      </c>
    </row>
    <row r="5" spans="1:4" ht="25.5" x14ac:dyDescent="0.25">
      <c r="A5" s="10" t="s">
        <v>71</v>
      </c>
      <c r="B5" s="14" t="s">
        <v>78</v>
      </c>
      <c r="C5" s="12" t="s">
        <v>81</v>
      </c>
      <c r="D5" s="7" t="s">
        <v>82</v>
      </c>
    </row>
    <row r="6" spans="1:4" ht="25.5" x14ac:dyDescent="0.25">
      <c r="A6" s="10" t="s">
        <v>31</v>
      </c>
      <c r="B6" s="13" t="s">
        <v>75</v>
      </c>
      <c r="C6" s="12" t="s">
        <v>83</v>
      </c>
      <c r="D6" s="7" t="s">
        <v>84</v>
      </c>
    </row>
    <row r="7" spans="1:4" ht="25.5" x14ac:dyDescent="0.25">
      <c r="A7" s="10" t="s">
        <v>31</v>
      </c>
      <c r="B7" s="14" t="s">
        <v>78</v>
      </c>
      <c r="C7" s="12" t="s">
        <v>85</v>
      </c>
      <c r="D7" s="7" t="s">
        <v>86</v>
      </c>
    </row>
    <row r="8" spans="1:4" ht="25.5" x14ac:dyDescent="0.25">
      <c r="A8" s="10" t="s">
        <v>31</v>
      </c>
      <c r="B8" s="11" t="s">
        <v>72</v>
      </c>
      <c r="C8" s="12" t="s">
        <v>87</v>
      </c>
      <c r="D8" s="7" t="s">
        <v>88</v>
      </c>
    </row>
    <row r="9" spans="1:4" x14ac:dyDescent="0.25">
      <c r="A9" s="10" t="s">
        <v>31</v>
      </c>
      <c r="B9" s="14" t="s">
        <v>78</v>
      </c>
      <c r="C9" s="12" t="s">
        <v>89</v>
      </c>
      <c r="D9" s="7" t="s">
        <v>90</v>
      </c>
    </row>
    <row r="10" spans="1:4" ht="25.5" x14ac:dyDescent="0.25">
      <c r="A10" s="10" t="s">
        <v>38</v>
      </c>
      <c r="B10" s="11" t="s">
        <v>72</v>
      </c>
      <c r="C10" s="12" t="s">
        <v>91</v>
      </c>
      <c r="D10" s="7" t="s">
        <v>92</v>
      </c>
    </row>
    <row r="11" spans="1:4" ht="25.5" x14ac:dyDescent="0.25">
      <c r="A11" s="10" t="s">
        <v>38</v>
      </c>
      <c r="B11" s="13" t="s">
        <v>75</v>
      </c>
      <c r="C11" s="12" t="s">
        <v>93</v>
      </c>
      <c r="D11" s="7" t="s">
        <v>94</v>
      </c>
    </row>
    <row r="12" spans="1:4" ht="25.5" x14ac:dyDescent="0.25">
      <c r="A12" s="10" t="s">
        <v>38</v>
      </c>
      <c r="B12" s="14" t="s">
        <v>78</v>
      </c>
      <c r="C12" s="12" t="s">
        <v>95</v>
      </c>
      <c r="D12" s="7" t="s">
        <v>96</v>
      </c>
    </row>
    <row r="13" spans="1:4" ht="25.5" x14ac:dyDescent="0.25">
      <c r="A13" s="10" t="s">
        <v>38</v>
      </c>
      <c r="B13" s="11" t="s">
        <v>72</v>
      </c>
      <c r="C13" s="12" t="s">
        <v>97</v>
      </c>
      <c r="D13" s="7" t="s">
        <v>98</v>
      </c>
    </row>
    <row r="14" spans="1:4" ht="25.5" x14ac:dyDescent="0.25">
      <c r="A14" s="10" t="s">
        <v>45</v>
      </c>
      <c r="B14" s="13" t="s">
        <v>75</v>
      </c>
      <c r="C14" s="12" t="s">
        <v>99</v>
      </c>
      <c r="D14" s="7" t="s">
        <v>100</v>
      </c>
    </row>
    <row r="15" spans="1:4" ht="25.5" x14ac:dyDescent="0.25">
      <c r="A15" s="10" t="s">
        <v>45</v>
      </c>
      <c r="B15" s="13" t="s">
        <v>75</v>
      </c>
      <c r="C15" s="12" t="s">
        <v>101</v>
      </c>
      <c r="D15" s="7" t="s">
        <v>102</v>
      </c>
    </row>
    <row r="16" spans="1:4" ht="25.5" x14ac:dyDescent="0.25">
      <c r="A16" s="10" t="s">
        <v>45</v>
      </c>
      <c r="B16" s="11" t="s">
        <v>72</v>
      </c>
      <c r="C16" s="12" t="s">
        <v>103</v>
      </c>
      <c r="D16" s="7" t="s">
        <v>104</v>
      </c>
    </row>
    <row r="17" spans="1:4" ht="25.5" x14ac:dyDescent="0.25">
      <c r="A17" s="10" t="s">
        <v>45</v>
      </c>
      <c r="B17" s="14" t="s">
        <v>78</v>
      </c>
      <c r="C17" s="12" t="s">
        <v>105</v>
      </c>
      <c r="D17" s="7" t="s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tabSelected="1" zoomScaleNormal="100" workbookViewId="0">
      <selection activeCell="B10" sqref="B10"/>
    </sheetView>
  </sheetViews>
  <sheetFormatPr defaultColWidth="8.7109375" defaultRowHeight="15" x14ac:dyDescent="0.25"/>
  <cols>
    <col min="1" max="1" width="22" customWidth="1"/>
    <col min="2" max="2" width="75" customWidth="1"/>
  </cols>
  <sheetData>
    <row r="1" spans="1:2" x14ac:dyDescent="0.25">
      <c r="A1" s="5" t="s">
        <v>107</v>
      </c>
      <c r="B1" s="5" t="s">
        <v>108</v>
      </c>
    </row>
    <row r="2" spans="1:2" x14ac:dyDescent="0.25">
      <c r="A2" s="15" t="s">
        <v>69</v>
      </c>
      <c r="B2" s="7" t="s">
        <v>109</v>
      </c>
    </row>
    <row r="3" spans="1:2" x14ac:dyDescent="0.25">
      <c r="A3" s="15" t="s">
        <v>110</v>
      </c>
      <c r="B3" s="7" t="s">
        <v>111</v>
      </c>
    </row>
    <row r="4" spans="1:2" x14ac:dyDescent="0.25">
      <c r="A4" s="15" t="s">
        <v>112</v>
      </c>
      <c r="B4" s="17" t="s">
        <v>121</v>
      </c>
    </row>
    <row r="5" spans="1:2" x14ac:dyDescent="0.25">
      <c r="A5" s="15" t="s">
        <v>113</v>
      </c>
      <c r="B5" s="7" t="s">
        <v>114</v>
      </c>
    </row>
    <row r="6" spans="1:2" ht="25.5" x14ac:dyDescent="0.25">
      <c r="A6" s="15" t="s">
        <v>115</v>
      </c>
      <c r="B6" s="7" t="s">
        <v>116</v>
      </c>
    </row>
    <row r="7" spans="1:2" x14ac:dyDescent="0.25">
      <c r="A7" s="15" t="s">
        <v>117</v>
      </c>
      <c r="B7" s="7" t="s">
        <v>118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01A7D55F60B18408D7825C28E029F51" ma:contentTypeVersion="19" ma:contentTypeDescription="Crie um novo documento." ma:contentTypeScope="" ma:versionID="26245b19684232a249215bac47317027">
  <xsd:schema xmlns:xsd="http://www.w3.org/2001/XMLSchema" xmlns:xs="http://www.w3.org/2001/XMLSchema" xmlns:p="http://schemas.microsoft.com/office/2006/metadata/properties" xmlns:ns1="http://schemas.microsoft.com/sharepoint/v3" xmlns:ns2="b633a64c-250e-4f9b-b03e-91a68bc51404" xmlns:ns3="442af37a-3796-4d85-82a9-7fed4a3d9bab" targetNamespace="http://schemas.microsoft.com/office/2006/metadata/properties" ma:root="true" ma:fieldsID="0b8051d1477f5ab751da8276506a6b46" ns1:_="" ns2:_="" ns3:_="">
    <xsd:import namespace="http://schemas.microsoft.com/sharepoint/v3"/>
    <xsd:import namespace="b633a64c-250e-4f9b-b03e-91a68bc51404"/>
    <xsd:import namespace="442af37a-3796-4d85-82a9-7fed4a3d9b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1:_ip_UnifiedCompliancePolicyProperties" minOccurs="0"/>
                <xsd:element ref="ns1:_ip_UnifiedCompliancePolicyUIAction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_Flow_SignoffStatus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8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19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33a64c-250e-4f9b-b03e-91a68bc5140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Marcações de imagem" ma:readOnly="false" ma:fieldId="{5cf76f15-5ced-4ddc-b409-7134ff3c332f}" ma:taxonomyMulti="true" ma:sspId="7bfb4e49-6f5d-460f-8245-f0e15177ea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2af37a-3796-4d85-82a9-7fed4a3d9bab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c01f1a95-fe8a-4ef2-a1aa-bea3be48d6af}" ma:internalName="TaxCatchAll" ma:showField="CatchAllData" ma:web="442af37a-3796-4d85-82a9-7fed4a3d9b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33a64c-250e-4f9b-b03e-91a68bc51404">
      <Terms xmlns="http://schemas.microsoft.com/office/infopath/2007/PartnerControls"/>
    </lcf76f155ced4ddcb4097134ff3c332f>
    <_ip_UnifiedCompliancePolicyUIAction xmlns="http://schemas.microsoft.com/sharepoint/v3" xsi:nil="true"/>
    <_ip_UnifiedCompliancePolicyProperties xmlns="http://schemas.microsoft.com/sharepoint/v3" xsi:nil="true"/>
    <TaxCatchAll xmlns="442af37a-3796-4d85-82a9-7fed4a3d9bab" xsi:nil="true"/>
    <_Flow_SignoffStatus xmlns="b633a64c-250e-4f9b-b03e-91a68bc51404" xsi:nil="true"/>
  </documentManagement>
</p:properties>
</file>

<file path=customXml/itemProps1.xml><?xml version="1.0" encoding="utf-8"?>
<ds:datastoreItem xmlns:ds="http://schemas.openxmlformats.org/officeDocument/2006/customXml" ds:itemID="{CE3A740B-A3FE-4C50-A000-9FAE2510E70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b633a64c-250e-4f9b-b03e-91a68bc51404"/>
    <ds:schemaRef ds:uri="442af37a-3796-4d85-82a9-7fed4a3d9b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9301C3-A4EA-4724-ABB3-5F8D135D20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BBCA61A-72EE-4D20-B5D5-B108D9E4C84F}">
  <ds:schemaRefs>
    <ds:schemaRef ds:uri="http://purl.org/dc/elements/1.1/"/>
    <ds:schemaRef ds:uri="http://schemas.microsoft.com/office/2006/metadata/properties"/>
    <ds:schemaRef ds:uri="http://schemas.microsoft.com/sharepoint/v3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442af37a-3796-4d85-82a9-7fed4a3d9bab"/>
    <ds:schemaRef ds:uri="b633a64c-250e-4f9b-b03e-91a68bc51404"/>
    <ds:schemaRef ds:uri="http://www.w3.org/XML/1998/namespac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PACOTES</vt:lpstr>
      <vt:lpstr>PENDENCIAS</vt:lpstr>
      <vt:lpstr>CENARIOS</vt:lpstr>
      <vt:lpstr>ALERTAS</vt:lpstr>
      <vt:lpstr>META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Eder Valasco</cp:lastModifiedBy>
  <cp:revision>0</cp:revision>
  <dcterms:created xsi:type="dcterms:W3CDTF">2026-07-04T23:14:05Z</dcterms:created>
  <dcterms:modified xsi:type="dcterms:W3CDTF">2026-08-04T19:29:50Z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0x010100401A7D55F60B18408D7825C28E029F51</vt:lpwstr>
  </property>
  <property fmtid="{D5CDD505-2E9C-101B-9397-08002B2CF9AE}" pid="3" name="MediaServiceImageTags">
    <vt:lpwstr/>
  </property>
</Properties>
</file>